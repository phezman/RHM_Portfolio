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lph\OneDrive - Queen's University Belfast\Projects\Tools\"/>
    </mc:Choice>
  </mc:AlternateContent>
  <xr:revisionPtr revIDLastSave="0" documentId="13_ncr:1_{D9CCD6E1-87F3-43BC-94A0-A450178EB001}" xr6:coauthVersionLast="37" xr6:coauthVersionMax="37" xr10:uidLastSave="{00000000-0000-0000-0000-000000000000}"/>
  <bookViews>
    <workbookView xWindow="0" yWindow="0" windowWidth="9600" windowHeight="7515" xr2:uid="{00000000-000D-0000-FFFF-FFFF00000000}"/>
  </bookViews>
  <sheets>
    <sheet name="Transformation" sheetId="1" r:id="rId1"/>
    <sheet name="Aerofoil Library" sheetId="2" r:id="rId2"/>
  </sheets>
  <definedNames>
    <definedName name="Aerofoils">'Aerofoil Library'!$B$3:$B$17</definedName>
    <definedName name="CSV_Export">Transformation!$AM$2</definedName>
    <definedName name="Curve">Transformation!$B$16:$D$96</definedName>
    <definedName name="Custom">Transformation!$AP$1</definedName>
    <definedName name="DAE_11">'Aerofoil Library'!$D$3:$F$83</definedName>
    <definedName name="Input_Selection">Transformation!$B$14</definedName>
    <definedName name="InputColumns">Transformation!$B$16:$D$1048576</definedName>
    <definedName name="NACA0009">'Aerofoil Library'!$H$3:$J$71</definedName>
    <definedName name="Order">Transformation!$AN$1:$AN$2</definedName>
    <definedName name="Scalar">Transformation!$I$7</definedName>
    <definedName name="StartInput">Transformation!$B$16</definedName>
    <definedName name="StartOutput">Transformation!$F$16</definedName>
    <definedName name="x_order">Transformation!$C$3</definedName>
    <definedName name="x_Theta">Transformation!$C$4</definedName>
    <definedName name="x_Translation">Transformation!$I$10</definedName>
    <definedName name="xRotation">Transformation!$D$2:$F$4</definedName>
    <definedName name="y_order">Transformation!$C$7</definedName>
    <definedName name="y_Theta">Transformation!$C$8</definedName>
    <definedName name="y_Translation">Transformation!$I$11</definedName>
    <definedName name="yRotation">Transformation!$D$6:$F$8</definedName>
    <definedName name="z_order">Transformation!$C$11</definedName>
    <definedName name="z_Theta">Transformation!$C$12</definedName>
    <definedName name="z_Translation">Transformation!$I$12</definedName>
    <definedName name="zRotation">Transformation!$D$10:$F$12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" l="1"/>
  <c r="F4" i="1"/>
  <c r="E4" i="1"/>
  <c r="E3" i="1"/>
  <c r="D8" i="1" l="1"/>
  <c r="F6" i="1"/>
  <c r="D6" i="1"/>
  <c r="F8" i="1" s="1"/>
  <c r="D11" i="1"/>
  <c r="E10" i="1"/>
  <c r="D10" i="1"/>
  <c r="E11" i="1" s="1"/>
</calcChain>
</file>

<file path=xl/sharedStrings.xml><?xml version="1.0" encoding="utf-8"?>
<sst xmlns="http://schemas.openxmlformats.org/spreadsheetml/2006/main" count="24" uniqueCount="17">
  <si>
    <t>Z</t>
  </si>
  <si>
    <t>Y</t>
  </si>
  <si>
    <t>X</t>
  </si>
  <si>
    <t>Scalar:</t>
  </si>
  <si>
    <t>x</t>
  </si>
  <si>
    <t>y</t>
  </si>
  <si>
    <t>z</t>
  </si>
  <si>
    <t>Output</t>
  </si>
  <si>
    <t>Aerofoil</t>
  </si>
  <si>
    <t>Order:</t>
  </si>
  <si>
    <t>DAE-11</t>
  </si>
  <si>
    <t>CSV Export</t>
  </si>
  <si>
    <t>NACA0009</t>
  </si>
  <si>
    <t>DAE_11</t>
  </si>
  <si>
    <t>Input</t>
  </si>
  <si>
    <t>Translations:</t>
  </si>
  <si>
    <t>Theta (°)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</si>
</sst>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0" fontId="0" fillId="0" borderId="25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28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Protection="1"/>
    <xf numFmtId="0" fontId="0" fillId="34" borderId="10" xfId="0" applyFill="1" applyBorder="1" applyAlignment="1" applyProtection="1">
      <alignment horizontal="center" vertical="center"/>
    </xf>
    <xf numFmtId="0" fontId="0" fillId="34" borderId="14" xfId="0" applyFill="1" applyBorder="1" applyAlignment="1" applyProtection="1">
      <alignment horizontal="center" vertical="center"/>
    </xf>
    <xf numFmtId="0" fontId="0" fillId="33" borderId="16" xfId="0" applyFill="1" applyBorder="1" applyProtection="1"/>
    <xf numFmtId="0" fontId="0" fillId="33" borderId="17" xfId="0" applyFill="1" applyBorder="1" applyProtection="1"/>
    <xf numFmtId="0" fontId="0" fillId="33" borderId="18" xfId="0" applyFill="1" applyBorder="1" applyProtection="1"/>
    <xf numFmtId="0" fontId="0" fillId="33" borderId="10" xfId="0" applyFill="1" applyBorder="1" applyAlignment="1" applyProtection="1">
      <alignment horizontal="center"/>
    </xf>
    <xf numFmtId="0" fontId="20" fillId="36" borderId="14" xfId="0" applyFont="1" applyFill="1" applyBorder="1" applyAlignment="1" applyProtection="1">
      <alignment horizontal="center"/>
    </xf>
    <xf numFmtId="0" fontId="0" fillId="33" borderId="19" xfId="0" applyFill="1" applyBorder="1" applyProtection="1"/>
    <xf numFmtId="0" fontId="0" fillId="33" borderId="10" xfId="0" applyFill="1" applyBorder="1" applyProtection="1"/>
    <xf numFmtId="0" fontId="0" fillId="33" borderId="20" xfId="0" applyFill="1" applyBorder="1" applyProtection="1"/>
    <xf numFmtId="0" fontId="20" fillId="36" borderId="14" xfId="0" applyFont="1" applyFill="1" applyBorder="1" applyAlignment="1" applyProtection="1">
      <alignment horizontal="center" vertical="center"/>
    </xf>
    <xf numFmtId="0" fontId="0" fillId="33" borderId="21" xfId="0" applyFill="1" applyBorder="1" applyProtection="1"/>
    <xf numFmtId="0" fontId="0" fillId="33" borderId="22" xfId="0" applyFill="1" applyBorder="1" applyProtection="1"/>
    <xf numFmtId="0" fontId="0" fillId="33" borderId="23" xfId="0" applyFill="1" applyBorder="1" applyProtection="1"/>
    <xf numFmtId="0" fontId="0" fillId="35" borderId="11" xfId="0" applyFill="1" applyBorder="1" applyAlignment="1" applyProtection="1"/>
    <xf numFmtId="0" fontId="0" fillId="35" borderId="13" xfId="0" applyFill="1" applyBorder="1" applyAlignment="1" applyProtection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34" borderId="10" xfId="0" applyFill="1" applyBorder="1" applyProtection="1"/>
    <xf numFmtId="0" fontId="20" fillId="36" borderId="10" xfId="0" applyFont="1" applyFill="1" applyBorder="1" applyAlignment="1" applyProtection="1">
      <alignment horizontal="center" vertical="center"/>
    </xf>
    <xf numFmtId="0" fontId="0" fillId="34" borderId="14" xfId="0" applyFill="1" applyBorder="1" applyAlignment="1" applyProtection="1">
      <alignment horizontal="left"/>
    </xf>
    <xf numFmtId="0" fontId="0" fillId="34" borderId="15" xfId="0" applyFill="1" applyBorder="1" applyAlignment="1" applyProtection="1">
      <alignment horizontal="left"/>
    </xf>
    <xf numFmtId="0" fontId="0" fillId="33" borderId="10" xfId="0" applyFill="1" applyBorder="1" applyAlignment="1" applyProtection="1">
      <alignment horizontal="center" vertical="center"/>
    </xf>
    <xf numFmtId="0" fontId="20" fillId="36" borderId="10" xfId="0" applyNumberFormat="1" applyFont="1" applyFill="1" applyBorder="1" applyAlignment="1" applyProtection="1">
      <alignment horizontal="center"/>
    </xf>
    <xf numFmtId="0" fontId="19" fillId="36" borderId="11" xfId="0" applyFont="1" applyFill="1" applyBorder="1" applyAlignment="1" applyProtection="1">
      <alignment horizontal="center"/>
    </xf>
    <xf numFmtId="0" fontId="19" fillId="36" borderId="13" xfId="0" applyFont="1" applyFill="1" applyBorder="1" applyAlignment="1" applyProtection="1">
      <alignment horizontal="center"/>
    </xf>
    <xf numFmtId="0" fontId="0" fillId="34" borderId="11" xfId="0" applyFill="1" applyBorder="1" applyAlignment="1" applyProtection="1">
      <alignment horizontal="center"/>
    </xf>
    <xf numFmtId="0" fontId="0" fillId="34" borderId="12" xfId="0" applyFill="1" applyBorder="1" applyAlignment="1" applyProtection="1">
      <alignment horizontal="center"/>
    </xf>
    <xf numFmtId="0" fontId="0" fillId="34" borderId="13" xfId="0" applyFill="1" applyBorder="1" applyAlignment="1" applyProtection="1">
      <alignment horizontal="center"/>
    </xf>
    <xf numFmtId="0" fontId="0" fillId="0" borderId="29" xfId="0" applyBorder="1" applyProtection="1"/>
    <xf numFmtId="0" fontId="0" fillId="0" borderId="30" xfId="0" applyBorder="1" applyProtection="1"/>
    <xf numFmtId="0" fontId="0" fillId="0" borderId="31" xfId="0" applyBorder="1" applyProtection="1"/>
    <xf numFmtId="0" fontId="0" fillId="0" borderId="32" xfId="0" applyBorder="1" applyProtection="1"/>
    <xf numFmtId="0" fontId="0" fillId="0" borderId="0" xfId="0" applyBorder="1" applyProtection="1"/>
    <xf numFmtId="0" fontId="0" fillId="0" borderId="24" xfId="0" applyBorder="1" applyProtection="1"/>
    <xf numFmtId="0" fontId="20" fillId="36" borderId="33" xfId="0" applyFont="1" applyFill="1" applyBorder="1" applyAlignment="1" applyProtection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D720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</xdr:row>
          <xdr:rowOff>0</xdr:rowOff>
        </xdr:from>
        <xdr:to>
          <xdr:col>9</xdr:col>
          <xdr:colOff>0</xdr:colOff>
          <xdr:row>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3</xdr:row>
          <xdr:rowOff>38100</xdr:rowOff>
        </xdr:from>
        <xdr:to>
          <xdr:col>8</xdr:col>
          <xdr:colOff>409575</xdr:colOff>
          <xdr:row>3</xdr:row>
          <xdr:rowOff>152400</xdr:rowOff>
        </xdr:to>
        <xdr:sp macro="" textlink="">
          <xdr:nvSpPr>
            <xdr:cNvPr id="1035" name="ckb_CSVExp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7384</xdr:colOff>
          <xdr:row>12</xdr:row>
          <xdr:rowOff>199360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8</xdr:row>
      <xdr:rowOff>1</xdr:rowOff>
    </xdr:from>
    <xdr:to>
      <xdr:col>18</xdr:col>
      <xdr:colOff>0</xdr:colOff>
      <xdr:row>12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534400" y="1571626"/>
          <a:ext cx="2438400" cy="78104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add a new aerofoil to the library:</a:t>
          </a:r>
          <a:r>
            <a:rPr lang="en-GB" sz="1100"/>
            <a:t> </a:t>
          </a:r>
        </a:p>
        <a:p>
          <a:r>
            <a:rPr lang="en-GB" sz="1050"/>
            <a:t>1- Copy the xyz</a:t>
          </a:r>
          <a:r>
            <a:rPr lang="en-GB" sz="1050" baseline="0"/>
            <a:t> plot to the library sheet</a:t>
          </a:r>
        </a:p>
        <a:p>
          <a:r>
            <a:rPr lang="en-GB" sz="1050" baseline="0"/>
            <a:t>2- Add the plot as a named range</a:t>
          </a:r>
        </a:p>
        <a:p>
          <a:r>
            <a:rPr lang="en-GB" sz="1050" baseline="0"/>
            <a:t>3- Add the range to the aerofoil table</a:t>
          </a:r>
          <a:endParaRPr lang="en-GB" sz="1050"/>
        </a:p>
      </xdr:txBody>
    </xdr:sp>
    <xdr:clientData/>
  </xdr:twoCellAnchor>
  <xdr:twoCellAnchor>
    <xdr:from>
      <xdr:col>10</xdr:col>
      <xdr:colOff>0</xdr:colOff>
      <xdr:row>1</xdr:row>
      <xdr:rowOff>2</xdr:rowOff>
    </xdr:from>
    <xdr:to>
      <xdr:col>18</xdr:col>
      <xdr:colOff>0</xdr:colOff>
      <xdr:row>7</xdr:row>
      <xdr:rowOff>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A634C58-3D4A-4C26-9548-48126D9632EA}"/>
            </a:ext>
          </a:extLst>
        </xdr:cNvPr>
        <xdr:cNvSpPr txBox="1"/>
      </xdr:nvSpPr>
      <xdr:spPr>
        <a:xfrm>
          <a:off x="6096000" y="200027"/>
          <a:ext cx="4876800" cy="117157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Aerofoil</a:t>
          </a:r>
          <a:r>
            <a:rPr lang="en-GB" sz="1100" b="1" baseline="0"/>
            <a:t> Transformation tool		        </a:t>
          </a:r>
          <a:r>
            <a:rPr lang="en-GB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endParaRPr lang="en-GB" sz="1100" b="0" baseline="0"/>
        </a:p>
        <a:p>
          <a:pPr algn="just"/>
          <a:endParaRPr lang="en-GB" sz="400" b="0" baseline="0"/>
        </a:p>
        <a:p>
          <a:pPr algn="just"/>
          <a:r>
            <a:rPr lang="en-GB" sz="1050" b="0" baseline="0"/>
            <a:t>This tool can be used to 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rotations, translations and a scalar transformation to any curve in 3D Cartesian space. It was made </a:t>
          </a:r>
          <a:r>
            <a:rPr lang="en-GB" sz="1050" b="0" baseline="0"/>
            <a:t>to aid in the creation of complex lofts for modelling wing structures in CAD. The output can be exported as a CSV that can be directly imported to a CAD package as a curve. The tool 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allows the user to build up a library of unitary aerofoils, which can then be chosen for use at will.</a:t>
          </a:r>
          <a:endParaRPr lang="en-GB" sz="1050">
            <a:effectLst/>
          </a:endParaRPr>
        </a:p>
        <a:p>
          <a:pPr algn="just"/>
          <a:endParaRPr lang="en-GB" sz="1050" b="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13</xdr:col>
      <xdr:colOff>466726</xdr:colOff>
      <xdr:row>16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FB8DAB5-586D-493B-9E87-44B59849889D}"/>
            </a:ext>
          </a:extLst>
        </xdr:cNvPr>
        <xdr:cNvSpPr txBox="1"/>
      </xdr:nvSpPr>
      <xdr:spPr>
        <a:xfrm>
          <a:off x="6096000" y="1571625"/>
          <a:ext cx="2295526" cy="157162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use the tool:</a:t>
          </a:r>
          <a:endParaRPr lang="en-GB" sz="1100"/>
        </a:p>
        <a:p>
          <a:pPr algn="l"/>
          <a:r>
            <a:rPr lang="en-GB" sz="1050"/>
            <a:t>1- Specify</a:t>
          </a:r>
          <a:r>
            <a:rPr lang="en-GB" sz="1050" baseline="0"/>
            <a:t> rotations around the x,y,z axes, and the order to apply them</a:t>
          </a:r>
        </a:p>
        <a:p>
          <a:pPr algn="l"/>
          <a:r>
            <a:rPr lang="en-GB" sz="1050" baseline="0"/>
            <a:t>2- Apply a scalar to the curve, and the translations to apply afterwards</a:t>
          </a:r>
        </a:p>
        <a:p>
          <a:pPr algn="l"/>
          <a:r>
            <a:rPr lang="en-GB" sz="1050" baseline="0"/>
            <a:t>3- Select the export CSV option if required</a:t>
          </a:r>
        </a:p>
        <a:p>
          <a:pPr algn="l"/>
          <a:r>
            <a:rPr lang="en-GB" sz="1050" baseline="0"/>
            <a:t>4- Import an aerofoil from the dropdown and press Calculate</a:t>
          </a:r>
        </a:p>
      </xdr:txBody>
    </xdr:sp>
    <xdr:clientData/>
  </xdr:twoCellAnchor>
  <xdr:twoCellAnchor>
    <xdr:from>
      <xdr:col>14</xdr:col>
      <xdr:colOff>0</xdr:colOff>
      <xdr:row>13</xdr:row>
      <xdr:rowOff>1</xdr:rowOff>
    </xdr:from>
    <xdr:to>
      <xdr:col>18</xdr:col>
      <xdr:colOff>0</xdr:colOff>
      <xdr:row>16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A2B6250-34C2-49E7-94E9-FFA6C28E2BFF}"/>
            </a:ext>
          </a:extLst>
        </xdr:cNvPr>
        <xdr:cNvSpPr txBox="1"/>
      </xdr:nvSpPr>
      <xdr:spPr>
        <a:xfrm>
          <a:off x="8534400" y="2552701"/>
          <a:ext cx="2438400" cy="5905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190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Ralph Heward-Mills    © Oct 2018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1"/>
            <a:t>r_heward-mills@hotmail.com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500" b="1"/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700" b="1"/>
            <a:t>Attribution-NonCommercial-ShareAlike (CC BY-NC-SA 4.0)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E18A0-FE75-4ACC-BE44-4EA88BBA3DB7}" name="Table1" displayName="Table1" ref="B2:B17" totalsRowShown="0" headerRowBorderDxfId="2" tableBorderDxfId="1">
  <autoFilter ref="B2:B17" xr:uid="{3F835309-2994-4DAE-8F69-D5603E241037}"/>
  <tableColumns count="1">
    <tableColumn id="1" xr3:uid="{4419B94A-1F8D-4D2E-8503-C56CEE601051}" name="Aerofoi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N96"/>
  <sheetViews>
    <sheetView tabSelected="1" zoomScaleNormal="100" workbookViewId="0">
      <selection activeCell="I16" sqref="I16"/>
    </sheetView>
  </sheetViews>
  <sheetFormatPr defaultRowHeight="15" x14ac:dyDescent="0.25"/>
  <cols>
    <col min="1" max="1" width="9.140625" style="9"/>
    <col min="2" max="15" width="9.140625" style="9" customWidth="1"/>
    <col min="16" max="38" width="9.140625" style="9"/>
    <col min="39" max="39" width="12.140625" style="9" customWidth="1"/>
    <col min="40" max="40" width="12.85546875" style="9" customWidth="1"/>
    <col min="41" max="16384" width="9.140625" style="9"/>
  </cols>
  <sheetData>
    <row r="1" spans="2:40" ht="15.75" thickBot="1" x14ac:dyDescent="0.3">
      <c r="AM1" s="9" t="s">
        <v>11</v>
      </c>
      <c r="AN1" s="9">
        <v>3</v>
      </c>
    </row>
    <row r="2" spans="2:40" x14ac:dyDescent="0.25">
      <c r="B2" s="10" t="s">
        <v>2</v>
      </c>
      <c r="C2" s="11"/>
      <c r="D2" s="12">
        <v>1</v>
      </c>
      <c r="E2" s="13">
        <v>0</v>
      </c>
      <c r="F2" s="14">
        <v>0</v>
      </c>
      <c r="AM2" s="9" t="b">
        <v>1</v>
      </c>
    </row>
    <row r="3" spans="2:40" ht="15.75" thickBot="1" x14ac:dyDescent="0.3">
      <c r="B3" s="15" t="s">
        <v>9</v>
      </c>
      <c r="C3" s="16">
        <v>2</v>
      </c>
      <c r="D3" s="17">
        <v>0</v>
      </c>
      <c r="E3" s="18">
        <f>COS(RADIANS(B9))</f>
        <v>1</v>
      </c>
      <c r="F3" s="19">
        <f>-SIN(RADIANS(C4))</f>
        <v>-0.74314482547739424</v>
      </c>
    </row>
    <row r="4" spans="2:40" ht="15.75" thickBot="1" x14ac:dyDescent="0.3">
      <c r="B4" s="15" t="s">
        <v>16</v>
      </c>
      <c r="C4" s="20">
        <v>132</v>
      </c>
      <c r="D4" s="21">
        <v>0</v>
      </c>
      <c r="E4" s="22">
        <f>SIN(RADIANS(C4))</f>
        <v>0.74314482547739424</v>
      </c>
      <c r="F4" s="23">
        <f>COS(RADIANS(C4))</f>
        <v>-0.66913060635885824</v>
      </c>
      <c r="H4" s="24" t="s">
        <v>11</v>
      </c>
      <c r="I4" s="25"/>
    </row>
    <row r="5" spans="2:40" ht="15.75" thickBot="1" x14ac:dyDescent="0.3">
      <c r="B5" s="26"/>
      <c r="C5" s="27"/>
    </row>
    <row r="6" spans="2:40" x14ac:dyDescent="0.25">
      <c r="B6" s="10" t="s">
        <v>1</v>
      </c>
      <c r="C6" s="11"/>
      <c r="D6" s="12">
        <f>COS(RADIANS(C8))</f>
        <v>-0.99862953475457383</v>
      </c>
      <c r="E6" s="13">
        <v>0</v>
      </c>
      <c r="F6" s="14">
        <f>SIN(RADIANS(C8))</f>
        <v>5.2335956242943807E-2</v>
      </c>
    </row>
    <row r="7" spans="2:40" x14ac:dyDescent="0.25">
      <c r="B7" s="15" t="s">
        <v>9</v>
      </c>
      <c r="C7" s="16">
        <v>1</v>
      </c>
      <c r="D7" s="17">
        <v>0</v>
      </c>
      <c r="E7" s="18">
        <v>1</v>
      </c>
      <c r="F7" s="19">
        <v>0</v>
      </c>
      <c r="H7" s="28" t="s">
        <v>3</v>
      </c>
      <c r="I7" s="29">
        <v>150</v>
      </c>
    </row>
    <row r="8" spans="2:40" ht="15.75" thickBot="1" x14ac:dyDescent="0.3">
      <c r="B8" s="15" t="s">
        <v>16</v>
      </c>
      <c r="C8" s="20">
        <v>177</v>
      </c>
      <c r="D8" s="21">
        <f>-SIN(RADIANS(C8))</f>
        <v>-5.2335956242943807E-2</v>
      </c>
      <c r="E8" s="22">
        <v>0</v>
      </c>
      <c r="F8" s="23">
        <f>D6</f>
        <v>-0.99862953475457383</v>
      </c>
    </row>
    <row r="9" spans="2:40" ht="15.75" thickBot="1" x14ac:dyDescent="0.3">
      <c r="B9" s="26"/>
      <c r="C9" s="27"/>
      <c r="H9" s="30" t="s">
        <v>15</v>
      </c>
      <c r="I9" s="31"/>
    </row>
    <row r="10" spans="2:40" x14ac:dyDescent="0.25">
      <c r="B10" s="10" t="s">
        <v>0</v>
      </c>
      <c r="C10" s="11"/>
      <c r="D10" s="12">
        <f>COS(RADIANS(C12))</f>
        <v>0.99619469809174555</v>
      </c>
      <c r="E10" s="13">
        <f>-SIN(RADIANS(C12))</f>
        <v>-8.7155742747658166E-2</v>
      </c>
      <c r="F10" s="14">
        <v>0</v>
      </c>
      <c r="H10" s="32" t="s">
        <v>4</v>
      </c>
      <c r="I10" s="33">
        <v>300</v>
      </c>
    </row>
    <row r="11" spans="2:40" x14ac:dyDescent="0.25">
      <c r="B11" s="15" t="s">
        <v>9</v>
      </c>
      <c r="C11" s="16">
        <v>3</v>
      </c>
      <c r="D11" s="17">
        <f>SIN(RADIANS(C12))</f>
        <v>8.7155742747658166E-2</v>
      </c>
      <c r="E11" s="18">
        <f>D10</f>
        <v>0.99619469809174555</v>
      </c>
      <c r="F11" s="19">
        <v>0</v>
      </c>
      <c r="H11" s="32" t="s">
        <v>5</v>
      </c>
      <c r="I11" s="33">
        <v>150</v>
      </c>
    </row>
    <row r="12" spans="2:40" ht="15.75" thickBot="1" x14ac:dyDescent="0.3">
      <c r="B12" s="15" t="s">
        <v>16</v>
      </c>
      <c r="C12" s="20">
        <v>5</v>
      </c>
      <c r="D12" s="21">
        <v>0</v>
      </c>
      <c r="E12" s="22">
        <v>0</v>
      </c>
      <c r="F12" s="23">
        <v>1</v>
      </c>
      <c r="H12" s="32" t="s">
        <v>6</v>
      </c>
      <c r="I12" s="33">
        <v>15</v>
      </c>
    </row>
    <row r="13" spans="2:40" ht="15.75" thickBot="1" x14ac:dyDescent="0.3"/>
    <row r="14" spans="2:40" ht="15.75" thickBot="1" x14ac:dyDescent="0.3">
      <c r="B14" s="34" t="s">
        <v>12</v>
      </c>
      <c r="C14" s="35"/>
      <c r="F14" s="36" t="s">
        <v>7</v>
      </c>
      <c r="G14" s="37"/>
      <c r="H14" s="38"/>
    </row>
    <row r="15" spans="2:40" ht="15.75" thickBot="1" x14ac:dyDescent="0.3"/>
    <row r="16" spans="2:40" x14ac:dyDescent="0.25">
      <c r="B16">
        <v>0</v>
      </c>
      <c r="C16">
        <v>1</v>
      </c>
      <c r="D16">
        <v>0</v>
      </c>
      <c r="F16" s="39">
        <v>313.0733614121487</v>
      </c>
      <c r="G16" s="40">
        <v>299.42920471376181</v>
      </c>
      <c r="H16" s="41">
        <v>-96.471723821609132</v>
      </c>
    </row>
    <row r="17" spans="2:11" ht="15.75" thickBot="1" x14ac:dyDescent="0.3">
      <c r="B17">
        <v>0</v>
      </c>
      <c r="C17">
        <v>0.99572000000000005</v>
      </c>
      <c r="D17">
        <v>5.6999999999999998E-4</v>
      </c>
      <c r="F17" s="42">
        <v>313.00741953955122</v>
      </c>
      <c r="G17" s="43">
        <v>298.72682736402896</v>
      </c>
      <c r="H17" s="44">
        <v>-95.937492582039553</v>
      </c>
    </row>
    <row r="18" spans="2:11" ht="15.75" thickBot="1" x14ac:dyDescent="0.3">
      <c r="B18">
        <v>0</v>
      </c>
      <c r="C18">
        <v>0.98295999999999994</v>
      </c>
      <c r="D18">
        <v>2.1800000000000001E-3</v>
      </c>
      <c r="F18" s="42">
        <v>312.81239205133022</v>
      </c>
      <c r="G18" s="43">
        <v>296.6426707658668</v>
      </c>
      <c r="H18" s="44">
        <v>-94.353739805028255</v>
      </c>
      <c r="K18" s="45" t="s">
        <v>14</v>
      </c>
    </row>
    <row r="19" spans="2:11" x14ac:dyDescent="0.25">
      <c r="B19">
        <v>0</v>
      </c>
      <c r="C19">
        <v>0.96194000000000002</v>
      </c>
      <c r="D19">
        <v>4.6299999999999996E-3</v>
      </c>
      <c r="E19" s="43"/>
      <c r="F19" s="43">
        <v>312.49465960831338</v>
      </c>
      <c r="G19" s="43">
        <v>293.23165157363087</v>
      </c>
      <c r="H19" s="43">
        <v>-91.765035677399624</v>
      </c>
    </row>
    <row r="20" spans="2:11" x14ac:dyDescent="0.25">
      <c r="B20">
        <v>0</v>
      </c>
      <c r="C20">
        <v>0.93301000000000001</v>
      </c>
      <c r="D20">
        <v>7.7000000000000002E-3</v>
      </c>
      <c r="F20" s="9">
        <v>312.06265286044368</v>
      </c>
      <c r="G20" s="9">
        <v>288.57031646122152</v>
      </c>
      <c r="H20" s="9">
        <v>-88.23244635083303</v>
      </c>
    </row>
    <row r="21" spans="2:11" x14ac:dyDescent="0.25">
      <c r="B21">
        <v>0</v>
      </c>
      <c r="C21">
        <v>0.89668000000000003</v>
      </c>
      <c r="D21">
        <v>1.1270000000000001E-2</v>
      </c>
      <c r="F21" s="9">
        <v>311.52514193483154</v>
      </c>
      <c r="G21" s="9">
        <v>282.7480996606339</v>
      </c>
      <c r="H21" s="9">
        <v>-83.824850249027691</v>
      </c>
    </row>
    <row r="22" spans="2:11" x14ac:dyDescent="0.25">
      <c r="B22">
        <v>0</v>
      </c>
      <c r="C22">
        <v>0.85355000000000003</v>
      </c>
      <c r="D22">
        <v>1.5219999999999999E-2</v>
      </c>
      <c r="F22" s="9">
        <v>310.89207356111444</v>
      </c>
      <c r="G22" s="9">
        <v>275.86788403228741</v>
      </c>
      <c r="H22" s="9">
        <v>-78.621158250826653</v>
      </c>
    </row>
    <row r="23" spans="2:11" x14ac:dyDescent="0.25">
      <c r="B23">
        <v>0</v>
      </c>
      <c r="C23">
        <v>0.80437999999999998</v>
      </c>
      <c r="D23">
        <v>1.9449999999999999E-2</v>
      </c>
      <c r="F23" s="9">
        <v>310.17513575462414</v>
      </c>
      <c r="G23" s="9">
        <v>268.05425688642373</v>
      </c>
      <c r="H23" s="9">
        <v>-72.71611207012613</v>
      </c>
    </row>
    <row r="24" spans="2:11" x14ac:dyDescent="0.25">
      <c r="B24">
        <v>0</v>
      </c>
      <c r="C24">
        <v>0.75</v>
      </c>
      <c r="D24">
        <v>2.384E-2</v>
      </c>
      <c r="F24" s="9">
        <v>309.38728211812293</v>
      </c>
      <c r="G24" s="9">
        <v>259.44446980054647</v>
      </c>
      <c r="H24" s="9">
        <v>-66.214261082248214</v>
      </c>
    </row>
    <row r="25" spans="2:11" x14ac:dyDescent="0.25">
      <c r="B25">
        <v>0</v>
      </c>
      <c r="C25">
        <v>0.69133999999999995</v>
      </c>
      <c r="D25">
        <v>2.8230000000000002E-2</v>
      </c>
      <c r="F25" s="9">
        <v>308.54347449477774</v>
      </c>
      <c r="G25" s="9">
        <v>250.19512571849435</v>
      </c>
      <c r="H25" s="9">
        <v>-59.235311116413769</v>
      </c>
    </row>
    <row r="26" spans="2:11" x14ac:dyDescent="0.25">
      <c r="B26">
        <v>0</v>
      </c>
      <c r="C26">
        <v>0.62941000000000003</v>
      </c>
      <c r="D26">
        <v>3.2469999999999999E-2</v>
      </c>
      <c r="F26" s="9">
        <v>307.65954537060253</v>
      </c>
      <c r="G26" s="9">
        <v>240.47367980901717</v>
      </c>
      <c r="H26" s="9">
        <v>-51.906883419370345</v>
      </c>
    </row>
    <row r="27" spans="2:11" x14ac:dyDescent="0.25">
      <c r="B27">
        <v>0</v>
      </c>
      <c r="C27">
        <v>0.56525999999999998</v>
      </c>
      <c r="D27">
        <v>3.6380000000000003E-2</v>
      </c>
      <c r="F27" s="9">
        <v>306.75237584426549</v>
      </c>
      <c r="G27" s="9">
        <v>230.45687074345108</v>
      </c>
      <c r="H27" s="9">
        <v>-44.364065067955799</v>
      </c>
    </row>
    <row r="28" spans="2:11" x14ac:dyDescent="0.25">
      <c r="B28">
        <v>0</v>
      </c>
      <c r="C28">
        <v>0.5</v>
      </c>
      <c r="D28">
        <v>3.9780000000000003E-2</v>
      </c>
      <c r="F28" s="9">
        <v>305.83963141611935</v>
      </c>
      <c r="G28" s="9">
        <v>220.33040294541513</v>
      </c>
      <c r="H28" s="9">
        <v>-36.748631442437315</v>
      </c>
    </row>
    <row r="29" spans="2:11" x14ac:dyDescent="0.25">
      <c r="B29">
        <v>0</v>
      </c>
      <c r="C29">
        <v>0.43474000000000002</v>
      </c>
      <c r="D29">
        <v>4.2479999999999997E-2</v>
      </c>
      <c r="F29" s="9">
        <v>304.93915281258279</v>
      </c>
      <c r="G29" s="9">
        <v>210.28108294999419</v>
      </c>
      <c r="H29" s="9">
        <v>-29.20336024346124</v>
      </c>
    </row>
    <row r="30" spans="2:11" x14ac:dyDescent="0.25">
      <c r="B30">
        <v>0</v>
      </c>
      <c r="C30">
        <v>0.37058999999999997</v>
      </c>
      <c r="D30">
        <v>4.4310000000000002E-2</v>
      </c>
      <c r="F30" s="9">
        <v>304.06843030794272</v>
      </c>
      <c r="G30" s="9">
        <v>200.49351306934133</v>
      </c>
      <c r="H30" s="9">
        <v>-21.869024530915567</v>
      </c>
    </row>
    <row r="31" spans="2:11" x14ac:dyDescent="0.25">
      <c r="B31">
        <v>0</v>
      </c>
      <c r="C31">
        <v>0.33928000000000003</v>
      </c>
      <c r="D31">
        <v>4.4839999999999998E-2</v>
      </c>
      <c r="F31" s="9">
        <v>303.64981638063824</v>
      </c>
      <c r="G31" s="9">
        <v>195.75647276205922</v>
      </c>
      <c r="H31" s="9">
        <v>-18.325721877964597</v>
      </c>
    </row>
    <row r="32" spans="2:11" x14ac:dyDescent="0.25">
      <c r="B32">
        <v>0</v>
      </c>
      <c r="C32">
        <v>0.30865999999999999</v>
      </c>
      <c r="D32">
        <v>4.5089999999999998E-2</v>
      </c>
      <c r="F32" s="9">
        <v>303.24512940255198</v>
      </c>
      <c r="G32" s="9">
        <v>191.1533977270756</v>
      </c>
      <c r="H32" s="9">
        <v>-14.887399685067479</v>
      </c>
    </row>
    <row r="33" spans="2:8" x14ac:dyDescent="0.25">
      <c r="B33">
        <v>0</v>
      </c>
      <c r="C33">
        <v>0.27886</v>
      </c>
      <c r="D33">
        <v>4.5039999999999997E-2</v>
      </c>
      <c r="F33" s="9">
        <v>302.85641936279922</v>
      </c>
      <c r="G33" s="9">
        <v>186.70591798393514</v>
      </c>
      <c r="H33" s="9">
        <v>-11.570553917079419</v>
      </c>
    </row>
    <row r="34" spans="2:8" x14ac:dyDescent="0.25">
      <c r="B34">
        <v>0</v>
      </c>
      <c r="C34">
        <v>0.25</v>
      </c>
      <c r="D34">
        <v>4.4659999999999998E-2</v>
      </c>
      <c r="F34" s="9">
        <v>302.48578074294693</v>
      </c>
      <c r="G34" s="9">
        <v>182.43527137160129</v>
      </c>
      <c r="H34" s="9">
        <v>-8.3915681419965154</v>
      </c>
    </row>
    <row r="35" spans="2:8" x14ac:dyDescent="0.25">
      <c r="B35">
        <v>0</v>
      </c>
      <c r="C35">
        <v>0.22220999999999999</v>
      </c>
      <c r="D35">
        <v>4.3970000000000002E-2</v>
      </c>
      <c r="F35" s="9">
        <v>302.134562627847</v>
      </c>
      <c r="G35" s="9">
        <v>178.35867946375492</v>
      </c>
      <c r="H35" s="9">
        <v>-5.362929043157223</v>
      </c>
    </row>
    <row r="36" spans="2:8" x14ac:dyDescent="0.25">
      <c r="B36">
        <v>0</v>
      </c>
      <c r="C36">
        <v>0.19561999999999999</v>
      </c>
      <c r="D36">
        <v>4.2950000000000002E-2</v>
      </c>
      <c r="F36" s="9">
        <v>301.80481500661477</v>
      </c>
      <c r="G36" s="9">
        <v>174.49777227994076</v>
      </c>
      <c r="H36" s="9">
        <v>-2.5011325854167232</v>
      </c>
    </row>
    <row r="37" spans="2:8" x14ac:dyDescent="0.25">
      <c r="B37">
        <v>0</v>
      </c>
      <c r="C37">
        <v>0.17033000000000001</v>
      </c>
      <c r="D37">
        <v>4.1610000000000001E-2</v>
      </c>
      <c r="F37" s="9">
        <v>301.49766998932557</v>
      </c>
      <c r="G37" s="9">
        <v>170.86639062916424</v>
      </c>
      <c r="H37" s="9">
        <v>0.18367637922201396</v>
      </c>
    </row>
    <row r="38" spans="2:8" x14ac:dyDescent="0.25">
      <c r="B38">
        <v>0</v>
      </c>
      <c r="C38">
        <v>0.14645</v>
      </c>
      <c r="D38">
        <v>3.9940000000000003E-2</v>
      </c>
      <c r="F38" s="9">
        <v>301.21474087180059</v>
      </c>
      <c r="G38" s="9">
        <v>167.48207383540975</v>
      </c>
      <c r="H38" s="9">
        <v>2.6782336407594336</v>
      </c>
    </row>
    <row r="39" spans="2:8" x14ac:dyDescent="0.25">
      <c r="B39">
        <v>0</v>
      </c>
      <c r="C39">
        <v>0.12408</v>
      </c>
      <c r="D39">
        <v>3.7949999999999998E-2</v>
      </c>
      <c r="F39" s="9">
        <v>300.95715976411515</v>
      </c>
      <c r="G39" s="9">
        <v>164.35866270768278</v>
      </c>
      <c r="H39" s="9">
        <v>4.972394347192548</v>
      </c>
    </row>
    <row r="40" spans="2:8" x14ac:dyDescent="0.25">
      <c r="B40">
        <v>0</v>
      </c>
      <c r="C40">
        <v>0.10332</v>
      </c>
      <c r="D40">
        <v>3.5639999999999998E-2</v>
      </c>
      <c r="F40" s="9">
        <v>300.72623400241048</v>
      </c>
      <c r="G40" s="9">
        <v>161.5111001664547</v>
      </c>
      <c r="H40" s="9">
        <v>7.0550113261392022</v>
      </c>
    </row>
    <row r="41" spans="2:8" x14ac:dyDescent="0.25">
      <c r="B41">
        <v>0</v>
      </c>
      <c r="C41">
        <v>8.4269999999999998E-2</v>
      </c>
      <c r="D41">
        <v>3.3050000000000003E-2</v>
      </c>
      <c r="F41" s="9">
        <v>300.52257001856447</v>
      </c>
      <c r="G41" s="9">
        <v>158.94992068633317</v>
      </c>
      <c r="H41" s="9">
        <v>8.9189466867339391</v>
      </c>
    </row>
    <row r="42" spans="2:8" x14ac:dyDescent="0.25">
      <c r="B42">
        <v>0</v>
      </c>
      <c r="C42">
        <v>6.6989999999999994E-2</v>
      </c>
      <c r="D42">
        <v>3.023E-2</v>
      </c>
      <c r="F42" s="9">
        <v>300.34607608393247</v>
      </c>
      <c r="G42" s="9">
        <v>156.67857946227136</v>
      </c>
      <c r="H42" s="9">
        <v>10.562523727443349</v>
      </c>
    </row>
    <row r="43" spans="2:8" x14ac:dyDescent="0.25">
      <c r="B43">
        <v>0</v>
      </c>
      <c r="C43">
        <v>5.1560000000000002E-2</v>
      </c>
      <c r="D43">
        <v>2.7199999999999998E-2</v>
      </c>
      <c r="F43" s="9">
        <v>300.19744761529586</v>
      </c>
      <c r="G43" s="9">
        <v>154.70682660771453</v>
      </c>
      <c r="H43" s="9">
        <v>11.978829351120059</v>
      </c>
    </row>
    <row r="44" spans="2:8" x14ac:dyDescent="0.25">
      <c r="B44">
        <v>0</v>
      </c>
      <c r="C44">
        <v>3.8059999999999997E-2</v>
      </c>
      <c r="D44">
        <v>2.3949999999999999E-2</v>
      </c>
      <c r="F44" s="9">
        <v>300.07790570763342</v>
      </c>
      <c r="G44" s="9">
        <v>153.04771857050568</v>
      </c>
      <c r="H44" s="9">
        <v>13.157943499479163</v>
      </c>
    </row>
    <row r="45" spans="2:8" x14ac:dyDescent="0.25">
      <c r="B45">
        <v>0</v>
      </c>
      <c r="C45">
        <v>2.6530000000000001E-2</v>
      </c>
      <c r="D45">
        <v>2.0389999999999998E-2</v>
      </c>
      <c r="F45" s="9">
        <v>299.98955032999424</v>
      </c>
      <c r="G45" s="9">
        <v>151.71715152202674</v>
      </c>
      <c r="H45" s="9">
        <v>14.0863864201552</v>
      </c>
    </row>
    <row r="46" spans="2:8" x14ac:dyDescent="0.25">
      <c r="B46">
        <v>0</v>
      </c>
      <c r="C46">
        <v>1.704E-2</v>
      </c>
      <c r="D46">
        <v>1.6459999999999999E-2</v>
      </c>
      <c r="F46" s="9">
        <v>299.93434797407235</v>
      </c>
      <c r="G46" s="9">
        <v>150.73219817540328</v>
      </c>
      <c r="H46" s="9">
        <v>14.750341170205598</v>
      </c>
    </row>
    <row r="47" spans="2:8" x14ac:dyDescent="0.25">
      <c r="B47">
        <v>0</v>
      </c>
      <c r="C47">
        <v>9.6100000000000005E-3</v>
      </c>
      <c r="D47">
        <v>1.214E-2</v>
      </c>
      <c r="F47" s="9">
        <v>299.91291055922773</v>
      </c>
      <c r="G47" s="9">
        <v>150.09805133766136</v>
      </c>
      <c r="H47" s="9">
        <v>15.145573674395564</v>
      </c>
    </row>
    <row r="48" spans="2:8" x14ac:dyDescent="0.25">
      <c r="B48">
        <v>0</v>
      </c>
      <c r="C48">
        <v>4.28E-3</v>
      </c>
      <c r="D48">
        <v>7.6699999999999997E-3</v>
      </c>
      <c r="F48" s="9">
        <v>299.92155559433633</v>
      </c>
      <c r="G48" s="9">
        <v>149.79423750180732</v>
      </c>
      <c r="H48" s="9">
        <v>15.291680752872493</v>
      </c>
    </row>
    <row r="49" spans="2:8" x14ac:dyDescent="0.25">
      <c r="B49">
        <v>0</v>
      </c>
      <c r="C49">
        <v>1.07E-3</v>
      </c>
      <c r="D49">
        <v>3.49E-3</v>
      </c>
      <c r="F49" s="9">
        <v>299.95283459972904</v>
      </c>
      <c r="G49" s="9">
        <v>149.77525234743447</v>
      </c>
      <c r="H49" s="9">
        <v>15.230535067843752</v>
      </c>
    </row>
    <row r="50" spans="2:8" x14ac:dyDescent="0.25">
      <c r="B50">
        <v>0</v>
      </c>
      <c r="C50">
        <v>0</v>
      </c>
      <c r="D50">
        <v>0</v>
      </c>
      <c r="F50" s="9">
        <v>300</v>
      </c>
      <c r="G50" s="9">
        <v>150</v>
      </c>
      <c r="H50" s="9">
        <v>15</v>
      </c>
    </row>
    <row r="51" spans="2:8" x14ac:dyDescent="0.25">
      <c r="B51">
        <v>0</v>
      </c>
      <c r="C51">
        <v>1.07E-3</v>
      </c>
      <c r="D51">
        <v>-3.49E-3</v>
      </c>
      <c r="F51" s="9">
        <v>300.075142393693</v>
      </c>
      <c r="G51" s="9">
        <v>150.54452615065296</v>
      </c>
      <c r="H51" s="9">
        <v>14.530915443178005</v>
      </c>
    </row>
    <row r="52" spans="2:8" x14ac:dyDescent="0.25">
      <c r="B52">
        <v>0</v>
      </c>
      <c r="C52">
        <v>4.28E-3</v>
      </c>
      <c r="D52">
        <v>-7.6699999999999997E-3</v>
      </c>
      <c r="F52" s="9">
        <v>300.19035237935168</v>
      </c>
      <c r="G52" s="9">
        <v>151.48487649054249</v>
      </c>
      <c r="H52" s="9">
        <v>13.754121291214533</v>
      </c>
    </row>
    <row r="53" spans="2:8" x14ac:dyDescent="0.25">
      <c r="B53">
        <v>0</v>
      </c>
      <c r="C53">
        <v>9.6100000000000005E-3</v>
      </c>
      <c r="D53">
        <v>-1.214E-2</v>
      </c>
      <c r="F53" s="9">
        <v>300.33835944711376</v>
      </c>
      <c r="G53" s="9">
        <v>152.77397797693712</v>
      </c>
      <c r="H53" s="9">
        <v>12.711939793753107</v>
      </c>
    </row>
    <row r="54" spans="2:8" x14ac:dyDescent="0.25">
      <c r="B54">
        <v>0</v>
      </c>
      <c r="C54">
        <v>1.704E-2</v>
      </c>
      <c r="D54">
        <v>-1.6459999999999999E-2</v>
      </c>
      <c r="F54" s="9">
        <v>300.51119218285362</v>
      </c>
      <c r="G54" s="9">
        <v>154.36034912124174</v>
      </c>
      <c r="H54" s="9">
        <v>11.450702481953963</v>
      </c>
    </row>
    <row r="55" spans="2:8" x14ac:dyDescent="0.25">
      <c r="B55">
        <v>0</v>
      </c>
      <c r="C55">
        <v>2.6530000000000001E-2</v>
      </c>
      <c r="D55">
        <v>-2.0389999999999998E-2</v>
      </c>
      <c r="F55" s="9">
        <v>300.70412222653437</v>
      </c>
      <c r="G55" s="9">
        <v>156.21156208008546</v>
      </c>
      <c r="H55" s="9">
        <v>9.9989239138702182</v>
      </c>
    </row>
    <row r="56" spans="2:8" x14ac:dyDescent="0.25">
      <c r="B56">
        <v>0</v>
      </c>
      <c r="C56">
        <v>3.8059999999999997E-2</v>
      </c>
      <c r="D56">
        <v>-2.3949999999999999E-2</v>
      </c>
      <c r="F56" s="9">
        <v>300.91723856305936</v>
      </c>
      <c r="G56" s="9">
        <v>158.32683249230587</v>
      </c>
      <c r="H56" s="9">
        <v>8.3568288832199507</v>
      </c>
    </row>
    <row r="57" spans="2:8" x14ac:dyDescent="0.25">
      <c r="B57">
        <v>0</v>
      </c>
      <c r="C57">
        <v>5.1560000000000002E-2</v>
      </c>
      <c r="D57">
        <v>-2.7199999999999998E-2</v>
      </c>
      <c r="F57" s="9">
        <v>301.15067741352493</v>
      </c>
      <c r="G57" s="9">
        <v>160.7023129823686</v>
      </c>
      <c r="H57" s="9">
        <v>6.5262064883956086</v>
      </c>
    </row>
    <row r="58" spans="2:8" x14ac:dyDescent="0.25">
      <c r="B58">
        <v>0</v>
      </c>
      <c r="C58">
        <v>6.6989999999999994E-2</v>
      </c>
      <c r="D58">
        <v>-3.023E-2</v>
      </c>
      <c r="F58" s="9">
        <v>301.40549287806721</v>
      </c>
      <c r="G58" s="9">
        <v>163.34194538527845</v>
      </c>
      <c r="H58" s="9">
        <v>4.5024947149374608</v>
      </c>
    </row>
    <row r="59" spans="2:8" x14ac:dyDescent="0.25">
      <c r="B59">
        <v>0</v>
      </c>
      <c r="C59">
        <v>8.4269999999999998E-2</v>
      </c>
      <c r="D59">
        <v>-3.3050000000000003E-2</v>
      </c>
      <c r="F59" s="9">
        <v>301.68081431383911</v>
      </c>
      <c r="G59" s="9">
        <v>166.23487747612427</v>
      </c>
      <c r="H59" s="9">
        <v>2.2936089803720581</v>
      </c>
    </row>
    <row r="60" spans="2:8" x14ac:dyDescent="0.25">
      <c r="B60">
        <v>0</v>
      </c>
      <c r="C60">
        <v>0.10332</v>
      </c>
      <c r="D60">
        <v>-3.5639999999999998E-2</v>
      </c>
      <c r="F60" s="9">
        <v>301.97524539979594</v>
      </c>
      <c r="G60" s="9">
        <v>169.36695069559704</v>
      </c>
      <c r="H60" s="9">
        <v>-8.9528336636512051E-2</v>
      </c>
    </row>
    <row r="61" spans="2:8" x14ac:dyDescent="0.25">
      <c r="B61">
        <v>0</v>
      </c>
      <c r="C61">
        <v>0.12408</v>
      </c>
      <c r="D61">
        <v>-3.7949999999999998E-2</v>
      </c>
      <c r="F61" s="9">
        <v>302.2871256039237</v>
      </c>
      <c r="G61" s="9">
        <v>172.72368873408436</v>
      </c>
      <c r="H61" s="9">
        <v>-2.6352173307630729</v>
      </c>
    </row>
    <row r="62" spans="2:8" x14ac:dyDescent="0.25">
      <c r="B62">
        <v>0</v>
      </c>
      <c r="C62">
        <v>0.14645</v>
      </c>
      <c r="D62">
        <v>-3.9940000000000003E-2</v>
      </c>
      <c r="F62" s="9">
        <v>302.61444668581782</v>
      </c>
      <c r="G62" s="9">
        <v>176.28574022525109</v>
      </c>
      <c r="H62" s="9">
        <v>-5.328301548108751</v>
      </c>
    </row>
    <row r="63" spans="2:8" x14ac:dyDescent="0.25">
      <c r="B63">
        <v>0</v>
      </c>
      <c r="C63">
        <v>0.17033000000000001</v>
      </c>
      <c r="D63">
        <v>-4.1610000000000001E-2</v>
      </c>
      <c r="F63" s="9">
        <v>302.95590130933704</v>
      </c>
      <c r="G63" s="9">
        <v>180.03816224862587</v>
      </c>
      <c r="H63" s="9">
        <v>-8.1576338162913835</v>
      </c>
    </row>
    <row r="64" spans="2:8" x14ac:dyDescent="0.25">
      <c r="B64">
        <v>0</v>
      </c>
      <c r="C64">
        <v>0.19561999999999999</v>
      </c>
      <c r="D64">
        <v>-4.2950000000000002E-2</v>
      </c>
      <c r="F64" s="9">
        <v>303.31000691227428</v>
      </c>
      <c r="G64" s="9">
        <v>183.9649097722714</v>
      </c>
      <c r="H64" s="9">
        <v>-11.111064642549632</v>
      </c>
    </row>
    <row r="65" spans="2:8" x14ac:dyDescent="0.25">
      <c r="B65">
        <v>0</v>
      </c>
      <c r="C65">
        <v>0.22220999999999999</v>
      </c>
      <c r="D65">
        <v>-4.3970000000000002E-2</v>
      </c>
      <c r="F65" s="9">
        <v>303.67550065094014</v>
      </c>
      <c r="G65" s="9">
        <v>188.0506476951351</v>
      </c>
      <c r="H65" s="9">
        <v>-14.177334457642303</v>
      </c>
    </row>
    <row r="66" spans="2:8" x14ac:dyDescent="0.25">
      <c r="B66">
        <v>0</v>
      </c>
      <c r="C66">
        <v>0.25</v>
      </c>
      <c r="D66">
        <v>-4.4659999999999998E-2</v>
      </c>
      <c r="F66" s="9">
        <v>304.05089996312745</v>
      </c>
      <c r="G66" s="9">
        <v>192.27933098527964</v>
      </c>
      <c r="H66" s="9">
        <v>-17.344293768808051</v>
      </c>
    </row>
    <row r="67" spans="2:8" x14ac:dyDescent="0.25">
      <c r="B67">
        <v>0</v>
      </c>
      <c r="C67">
        <v>0.27886</v>
      </c>
      <c r="D67">
        <v>-4.5039999999999997E-2</v>
      </c>
      <c r="F67" s="9">
        <v>304.43485576398439</v>
      </c>
      <c r="G67" s="9">
        <v>196.6337380690241</v>
      </c>
      <c r="H67" s="9">
        <v>-20.599455892708427</v>
      </c>
    </row>
    <row r="68" spans="2:8" x14ac:dyDescent="0.25">
      <c r="B68">
        <v>0</v>
      </c>
      <c r="C68">
        <v>0.30865999999999999</v>
      </c>
      <c r="D68">
        <v>-4.5089999999999998E-2</v>
      </c>
      <c r="F68" s="9">
        <v>304.82531806439567</v>
      </c>
      <c r="G68" s="9">
        <v>201.09223892682385</v>
      </c>
      <c r="H68" s="9">
        <v>-23.926324864488265</v>
      </c>
    </row>
    <row r="69" spans="2:8" x14ac:dyDescent="0.25">
      <c r="B69">
        <v>0</v>
      </c>
      <c r="C69">
        <v>0.33928000000000003</v>
      </c>
      <c r="D69">
        <v>-4.4839999999999998E-2</v>
      </c>
      <c r="F69" s="9">
        <v>305.22124373918939</v>
      </c>
      <c r="G69" s="9">
        <v>205.64020838851101</v>
      </c>
      <c r="H69" s="9">
        <v>-27.314531038426523</v>
      </c>
    </row>
    <row r="70" spans="2:8" x14ac:dyDescent="0.25">
      <c r="B70">
        <v>0</v>
      </c>
      <c r="C70">
        <v>0.37058999999999997</v>
      </c>
      <c r="D70">
        <v>-4.4310000000000002E-2</v>
      </c>
      <c r="F70" s="9">
        <v>305.62128370351365</v>
      </c>
      <c r="G70" s="9">
        <v>210.26042488040466</v>
      </c>
      <c r="H70" s="9">
        <v>-30.751587731184699</v>
      </c>
    </row>
    <row r="71" spans="2:8" x14ac:dyDescent="0.25">
      <c r="B71">
        <v>0</v>
      </c>
      <c r="C71">
        <v>0.43474000000000002</v>
      </c>
      <c r="D71">
        <v>-4.2479999999999997E-2</v>
      </c>
      <c r="F71" s="9">
        <v>306.42787346805227</v>
      </c>
      <c r="G71" s="9">
        <v>219.64462196452746</v>
      </c>
      <c r="H71" s="9">
        <v>-37.719074184951481</v>
      </c>
    </row>
    <row r="72" spans="2:8" x14ac:dyDescent="0.25">
      <c r="B72">
        <v>0</v>
      </c>
      <c r="C72">
        <v>0.5</v>
      </c>
      <c r="D72">
        <v>-3.9780000000000003E-2</v>
      </c>
      <c r="F72" s="9">
        <v>307.23372999602935</v>
      </c>
      <c r="G72" s="9">
        <v>229.09880176834673</v>
      </c>
      <c r="H72" s="9">
        <v>-44.723092379171824</v>
      </c>
    </row>
    <row r="73" spans="2:8" x14ac:dyDescent="0.25">
      <c r="B73">
        <v>0</v>
      </c>
      <c r="C73">
        <v>0.56525999999999998</v>
      </c>
      <c r="D73">
        <v>-3.6380000000000003E-2</v>
      </c>
      <c r="F73" s="9">
        <v>308.02732069939685</v>
      </c>
      <c r="G73" s="9">
        <v>238.47583376955095</v>
      </c>
      <c r="H73" s="9">
        <v>-51.656948146849757</v>
      </c>
    </row>
    <row r="74" spans="2:8" x14ac:dyDescent="0.25">
      <c r="B74">
        <v>0</v>
      </c>
      <c r="C74">
        <v>0.62941000000000003</v>
      </c>
      <c r="D74">
        <v>-3.2469999999999999E-2</v>
      </c>
      <c r="F74" s="9">
        <v>308.7974634422385</v>
      </c>
      <c r="G74" s="9">
        <v>247.63079166876051</v>
      </c>
      <c r="H74" s="9">
        <v>-58.415951961747666</v>
      </c>
    </row>
    <row r="75" spans="2:8" x14ac:dyDescent="0.25">
      <c r="B75">
        <v>0</v>
      </c>
      <c r="C75">
        <v>0.69133999999999995</v>
      </c>
      <c r="D75">
        <v>-2.8230000000000002E-2</v>
      </c>
      <c r="F75" s="9">
        <v>309.53280086257206</v>
      </c>
      <c r="G75" s="9">
        <v>256.41764705512986</v>
      </c>
      <c r="H75" s="9">
        <v>-64.894411977248751</v>
      </c>
    </row>
    <row r="76" spans="2:8" x14ac:dyDescent="0.25">
      <c r="B76">
        <v>0</v>
      </c>
      <c r="C76">
        <v>0.75</v>
      </c>
      <c r="D76">
        <v>-2.384E-2</v>
      </c>
      <c r="F76" s="9">
        <v>310.22276000010015</v>
      </c>
      <c r="G76" s="9">
        <v>264.69933727009629</v>
      </c>
      <c r="H76" s="9">
        <v>-70.993324650165505</v>
      </c>
    </row>
    <row r="77" spans="2:8" x14ac:dyDescent="0.25">
      <c r="B77">
        <v>0</v>
      </c>
      <c r="C77">
        <v>0.80437999999999998</v>
      </c>
      <c r="D77">
        <v>-1.9449999999999999E-2</v>
      </c>
      <c r="F77" s="9">
        <v>310.85676515078427</v>
      </c>
      <c r="G77" s="9">
        <v>272.34147048888775</v>
      </c>
      <c r="H77" s="9">
        <v>-76.615138345125771</v>
      </c>
    </row>
    <row r="78" spans="2:8" x14ac:dyDescent="0.25">
      <c r="B78">
        <v>0</v>
      </c>
      <c r="C78">
        <v>0.85355000000000003</v>
      </c>
      <c r="D78">
        <v>-1.5219999999999999E-2</v>
      </c>
      <c r="F78" s="9">
        <v>311.42546170556466</v>
      </c>
      <c r="G78" s="9">
        <v>279.22271133457548</v>
      </c>
      <c r="H78" s="9">
        <v>-81.672221485042314</v>
      </c>
    </row>
    <row r="79" spans="2:8" x14ac:dyDescent="0.25">
      <c r="B79">
        <v>0</v>
      </c>
      <c r="C79">
        <v>0.89668000000000003</v>
      </c>
      <c r="D79">
        <v>-1.1270000000000001E-2</v>
      </c>
      <c r="F79" s="9">
        <v>311.9201014872595</v>
      </c>
      <c r="G79" s="9">
        <v>285.23225890483803</v>
      </c>
      <c r="H79" s="9">
        <v>-86.084080383693291</v>
      </c>
    </row>
    <row r="80" spans="2:8" x14ac:dyDescent="0.25">
      <c r="B80">
        <v>0</v>
      </c>
      <c r="C80">
        <v>0.93301000000000001</v>
      </c>
      <c r="D80">
        <v>-7.7000000000000002E-3</v>
      </c>
      <c r="F80" s="9">
        <v>312.3325010018541</v>
      </c>
      <c r="G80" s="9">
        <v>290.26756811875231</v>
      </c>
      <c r="H80" s="9">
        <v>-89.776019734766052</v>
      </c>
    </row>
    <row r="81" spans="2:8" x14ac:dyDescent="0.25">
      <c r="B81">
        <v>0</v>
      </c>
      <c r="C81">
        <v>0.96194000000000002</v>
      </c>
      <c r="D81">
        <v>-4.6299999999999996E-3</v>
      </c>
      <c r="F81" s="9">
        <v>312.65691894529135</v>
      </c>
      <c r="G81" s="9">
        <v>294.25220679108122</v>
      </c>
      <c r="H81" s="9">
        <v>-92.693184348517789</v>
      </c>
    </row>
    <row r="82" spans="2:8" x14ac:dyDescent="0.25">
      <c r="B82">
        <v>0</v>
      </c>
      <c r="C82">
        <v>0.98295999999999994</v>
      </c>
      <c r="D82">
        <v>-2.1800000000000001E-3</v>
      </c>
      <c r="F82" s="9">
        <v>312.88879061604121</v>
      </c>
      <c r="G82" s="9">
        <v>297.12319136501185</v>
      </c>
      <c r="H82" s="9">
        <v>-94.790751490349564</v>
      </c>
    </row>
    <row r="83" spans="2:8" x14ac:dyDescent="0.25">
      <c r="B83">
        <v>0</v>
      </c>
      <c r="C83">
        <v>0.99572000000000005</v>
      </c>
      <c r="D83">
        <v>-5.6999999999999998E-4</v>
      </c>
      <c r="F83" s="9">
        <v>313.02739531105823</v>
      </c>
      <c r="G83" s="9">
        <v>298.85246807114493</v>
      </c>
      <c r="H83" s="9">
        <v>-96.051757105265764</v>
      </c>
    </row>
    <row r="84" spans="2:8" x14ac:dyDescent="0.25">
      <c r="B84">
        <v>0</v>
      </c>
      <c r="C84">
        <v>1</v>
      </c>
      <c r="D84">
        <v>0</v>
      </c>
      <c r="F84" s="9">
        <v>313.0733614121487</v>
      </c>
      <c r="G84" s="9">
        <v>299.42920471376181</v>
      </c>
      <c r="H84" s="9">
        <v>-96.471723821609132</v>
      </c>
    </row>
    <row r="85" spans="2:8" x14ac:dyDescent="0.25">
      <c r="B85"/>
      <c r="C85"/>
      <c r="D85"/>
      <c r="F85" s="9">
        <v>297.59450506460081</v>
      </c>
      <c r="G85" s="9">
        <v>177.84539417478715</v>
      </c>
      <c r="H85" s="9">
        <v>15.621004640527998</v>
      </c>
    </row>
    <row r="86" spans="2:8" x14ac:dyDescent="0.25">
      <c r="B86"/>
      <c r="C86"/>
      <c r="D86"/>
      <c r="F86" s="9">
        <v>297.48669556974272</v>
      </c>
      <c r="G86" s="9">
        <v>179.10934468184641</v>
      </c>
      <c r="H86" s="9">
        <v>15.677158995306247</v>
      </c>
    </row>
    <row r="87" spans="2:8" x14ac:dyDescent="0.25">
      <c r="B87"/>
      <c r="C87"/>
      <c r="D87"/>
      <c r="F87" s="9">
        <v>297.37947665585801</v>
      </c>
      <c r="G87" s="9">
        <v>180.37151091322178</v>
      </c>
      <c r="H87" s="9">
        <v>15.742117643279778</v>
      </c>
    </row>
    <row r="88" spans="2:8" x14ac:dyDescent="0.25">
      <c r="B88"/>
      <c r="C88"/>
      <c r="D88"/>
      <c r="F88" s="9">
        <v>297.27294865444793</v>
      </c>
      <c r="G88" s="9">
        <v>181.63111202928494</v>
      </c>
      <c r="H88" s="9">
        <v>15.816529385738404</v>
      </c>
    </row>
    <row r="89" spans="2:8" x14ac:dyDescent="0.25">
      <c r="B89"/>
      <c r="C89"/>
      <c r="D89"/>
      <c r="F89" s="9">
        <v>297.16714163145019</v>
      </c>
      <c r="G89" s="9">
        <v>182.88816554214594</v>
      </c>
      <c r="H89" s="9">
        <v>15.901034527465011</v>
      </c>
    </row>
    <row r="90" spans="2:8" x14ac:dyDescent="0.25">
      <c r="B90"/>
      <c r="C90"/>
      <c r="D90"/>
      <c r="F90" s="9">
        <v>297.06193752867944</v>
      </c>
      <c r="G90" s="9">
        <v>184.14432830713918</v>
      </c>
      <c r="H90" s="9">
        <v>15.996178109749955</v>
      </c>
    </row>
    <row r="91" spans="2:8" x14ac:dyDescent="0.25">
      <c r="B91"/>
      <c r="C91"/>
      <c r="D91"/>
      <c r="F91" s="9">
        <v>296.95664191666953</v>
      </c>
      <c r="G91" s="9">
        <v>185.40817952685873</v>
      </c>
      <c r="H91" s="9">
        <v>16.103097932432679</v>
      </c>
    </row>
    <row r="92" spans="2:8" x14ac:dyDescent="0.25">
      <c r="B92"/>
      <c r="C92"/>
      <c r="D92"/>
      <c r="F92" s="9">
        <v>296.85222704203409</v>
      </c>
      <c r="G92" s="9">
        <v>186.66839963757459</v>
      </c>
      <c r="H92" s="9">
        <v>16.22142761156757</v>
      </c>
    </row>
    <row r="93" spans="2:8" x14ac:dyDescent="0.25">
      <c r="B93"/>
      <c r="C93"/>
      <c r="D93"/>
      <c r="F93" s="9">
        <v>296.7605087799156</v>
      </c>
      <c r="G93" s="9">
        <v>187.78086351504126</v>
      </c>
      <c r="H93" s="9">
        <v>16.335090493697376</v>
      </c>
    </row>
    <row r="94" spans="2:8" x14ac:dyDescent="0.25">
      <c r="B94"/>
      <c r="C94"/>
      <c r="D94"/>
      <c r="F94" s="9">
        <v>296.68986311654811</v>
      </c>
      <c r="G94" s="9">
        <v>188.64172796066441</v>
      </c>
      <c r="H94" s="9">
        <v>16.429718188342935</v>
      </c>
    </row>
    <row r="95" spans="2:8" x14ac:dyDescent="0.25">
      <c r="B95"/>
      <c r="C95"/>
      <c r="D95"/>
      <c r="F95" s="9">
        <v>296.63583344013574</v>
      </c>
      <c r="G95" s="9">
        <v>189.30269928703879</v>
      </c>
      <c r="H95" s="9">
        <v>16.506669909600479</v>
      </c>
    </row>
    <row r="96" spans="2:8" x14ac:dyDescent="0.25">
      <c r="B96"/>
      <c r="C96"/>
      <c r="D96"/>
      <c r="F96" s="9">
        <v>296.59132997290754</v>
      </c>
      <c r="G96" s="9">
        <v>189.84778792366981</v>
      </c>
      <c r="H96" s="9">
        <v>16.571217046984529</v>
      </c>
    </row>
  </sheetData>
  <mergeCells count="6">
    <mergeCell ref="B2:C2"/>
    <mergeCell ref="B10:C10"/>
    <mergeCell ref="F14:H14"/>
    <mergeCell ref="H9:I9"/>
    <mergeCell ref="B6:C6"/>
    <mergeCell ref="B14:C14"/>
  </mergeCells>
  <dataValidations count="1">
    <dataValidation type="list" allowBlank="1" showInputMessage="1" showErrorMessage="1" sqref="B14:C14" xr:uid="{26C7A218-E64C-4CF8-BB20-AE6D9F308343}">
      <formula1>Aerofoils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kb_CSVExport">
          <controlPr defaultSize="0" autoLine="0" linkedCell="AM2" r:id="rId5">
            <anchor moveWithCells="1">
              <from>
                <xdr:col>8</xdr:col>
                <xdr:colOff>266700</xdr:colOff>
                <xdr:row>3</xdr:row>
                <xdr:rowOff>38100</xdr:rowOff>
              </from>
              <to>
                <xdr:col>8</xdr:col>
                <xdr:colOff>409575</xdr:colOff>
                <xdr:row>3</xdr:row>
                <xdr:rowOff>152400</xdr:rowOff>
              </to>
            </anchor>
          </controlPr>
        </control>
      </mc:Choice>
      <mc:Fallback>
        <control shapeId="1035" r:id="rId4" name="ckb_CSVExport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CalculateButton_Click">
            <anchor moveWithCells="1" sizeWithCells="1">
              <from>
                <xdr:col>6</xdr:col>
                <xdr:colOff>609600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7" name="Button 13">
          <controlPr defaultSize="0" print="0" autoFill="0" autoPict="0" macro="[0]!ImportButton_Click">
            <anchor moveWithCells="1" sizeWithCells="1">
              <from>
                <xdr:col>3</xdr:col>
                <xdr:colOff>9525</xdr:colOff>
                <xdr:row>12</xdr:row>
                <xdr:rowOff>200025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0CC8-ED2C-4173-8410-10B208B298E0}">
  <sheetPr codeName="Sheet2"/>
  <dimension ref="B1:J83"/>
  <sheetViews>
    <sheetView workbookViewId="0">
      <selection activeCell="D3" sqref="D3"/>
    </sheetView>
  </sheetViews>
  <sheetFormatPr defaultRowHeight="15" x14ac:dyDescent="0.25"/>
  <cols>
    <col min="2" max="2" width="18.28515625" customWidth="1"/>
  </cols>
  <sheetData>
    <row r="1" spans="2:10" ht="15.75" thickBot="1" x14ac:dyDescent="0.3"/>
    <row r="2" spans="2:10" ht="15.75" thickBot="1" x14ac:dyDescent="0.3">
      <c r="B2" s="4" t="s">
        <v>8</v>
      </c>
      <c r="D2" s="6" t="s">
        <v>10</v>
      </c>
      <c r="E2" s="7"/>
      <c r="F2" s="8"/>
      <c r="H2" s="6" t="s">
        <v>12</v>
      </c>
      <c r="I2" s="7"/>
      <c r="J2" s="8"/>
    </row>
    <row r="3" spans="2:10" x14ac:dyDescent="0.25">
      <c r="B3" s="1" t="s">
        <v>13</v>
      </c>
      <c r="D3">
        <v>0</v>
      </c>
      <c r="E3">
        <v>1</v>
      </c>
      <c r="F3">
        <v>0</v>
      </c>
      <c r="H3">
        <v>0</v>
      </c>
      <c r="I3">
        <v>1</v>
      </c>
      <c r="J3">
        <v>0</v>
      </c>
    </row>
    <row r="4" spans="2:10" x14ac:dyDescent="0.25">
      <c r="B4" s="2" t="s">
        <v>12</v>
      </c>
      <c r="D4">
        <v>0</v>
      </c>
      <c r="E4">
        <v>0.986483</v>
      </c>
      <c r="F4">
        <v>2.5379999999999999E-3</v>
      </c>
      <c r="H4">
        <v>0</v>
      </c>
      <c r="I4">
        <v>0.99572000000000005</v>
      </c>
      <c r="J4">
        <v>5.6999999999999998E-4</v>
      </c>
    </row>
    <row r="5" spans="2:10" x14ac:dyDescent="0.25">
      <c r="B5" s="3"/>
      <c r="D5">
        <v>0</v>
      </c>
      <c r="E5">
        <v>0.97000799999999998</v>
      </c>
      <c r="F5">
        <v>5.6150000000000002E-3</v>
      </c>
      <c r="H5">
        <v>0</v>
      </c>
      <c r="I5">
        <v>0.98295999999999994</v>
      </c>
      <c r="J5">
        <v>2.1800000000000001E-3</v>
      </c>
    </row>
    <row r="6" spans="2:10" x14ac:dyDescent="0.25">
      <c r="B6" s="2"/>
      <c r="D6">
        <v>0</v>
      </c>
      <c r="E6">
        <v>0.94787500000000002</v>
      </c>
      <c r="F6">
        <v>1.0045E-2</v>
      </c>
      <c r="H6">
        <v>0</v>
      </c>
      <c r="I6">
        <v>0.96194000000000002</v>
      </c>
      <c r="J6">
        <v>4.6299999999999996E-3</v>
      </c>
    </row>
    <row r="7" spans="2:10" x14ac:dyDescent="0.25">
      <c r="B7" s="2"/>
      <c r="D7">
        <v>0</v>
      </c>
      <c r="E7">
        <v>0.91860900000000001</v>
      </c>
      <c r="F7">
        <v>1.6379999999999999E-2</v>
      </c>
      <c r="H7">
        <v>0</v>
      </c>
      <c r="I7">
        <v>0.93301000000000001</v>
      </c>
      <c r="J7">
        <v>7.7000000000000002E-3</v>
      </c>
    </row>
    <row r="8" spans="2:10" x14ac:dyDescent="0.25">
      <c r="B8" s="2"/>
      <c r="D8">
        <v>0</v>
      </c>
      <c r="E8">
        <v>0.88796699999999995</v>
      </c>
      <c r="F8">
        <v>2.3564000000000002E-2</v>
      </c>
      <c r="H8">
        <v>0</v>
      </c>
      <c r="I8">
        <v>0.89668000000000003</v>
      </c>
      <c r="J8">
        <v>1.1270000000000001E-2</v>
      </c>
    </row>
    <row r="9" spans="2:10" x14ac:dyDescent="0.25">
      <c r="B9" s="2"/>
      <c r="D9">
        <v>0</v>
      </c>
      <c r="E9">
        <v>0.85795100000000002</v>
      </c>
      <c r="F9">
        <v>3.1127999999999999E-2</v>
      </c>
      <c r="H9">
        <v>0</v>
      </c>
      <c r="I9">
        <v>0.85355000000000003</v>
      </c>
      <c r="J9">
        <v>1.5219999999999999E-2</v>
      </c>
    </row>
    <row r="10" spans="2:10" x14ac:dyDescent="0.25">
      <c r="B10" s="2"/>
      <c r="D10">
        <v>0</v>
      </c>
      <c r="E10">
        <v>0.82794999999999996</v>
      </c>
      <c r="F10">
        <v>3.9151999999999999E-2</v>
      </c>
      <c r="H10">
        <v>0</v>
      </c>
      <c r="I10">
        <v>0.80437999999999998</v>
      </c>
      <c r="J10">
        <v>1.9449999999999999E-2</v>
      </c>
    </row>
    <row r="11" spans="2:10" x14ac:dyDescent="0.25">
      <c r="B11" s="2"/>
      <c r="D11">
        <v>0</v>
      </c>
      <c r="E11">
        <v>0.79778000000000004</v>
      </c>
      <c r="F11">
        <v>4.7605000000000001E-2</v>
      </c>
      <c r="H11">
        <v>0</v>
      </c>
      <c r="I11">
        <v>0.75</v>
      </c>
      <c r="J11">
        <v>2.384E-2</v>
      </c>
    </row>
    <row r="12" spans="2:10" x14ac:dyDescent="0.25">
      <c r="B12" s="2"/>
      <c r="D12">
        <v>0</v>
      </c>
      <c r="E12">
        <v>0.76735100000000001</v>
      </c>
      <c r="F12">
        <v>5.6417000000000002E-2</v>
      </c>
      <c r="H12">
        <v>0</v>
      </c>
      <c r="I12">
        <v>0.69133999999999995</v>
      </c>
      <c r="J12">
        <v>2.8230000000000002E-2</v>
      </c>
    </row>
    <row r="13" spans="2:10" x14ac:dyDescent="0.25">
      <c r="B13" s="2"/>
      <c r="D13">
        <v>0</v>
      </c>
      <c r="E13">
        <v>0.73660400000000004</v>
      </c>
      <c r="F13">
        <v>6.5502000000000005E-2</v>
      </c>
      <c r="H13">
        <v>0</v>
      </c>
      <c r="I13">
        <v>0.62941000000000003</v>
      </c>
      <c r="J13">
        <v>3.2469999999999999E-2</v>
      </c>
    </row>
    <row r="14" spans="2:10" x14ac:dyDescent="0.25">
      <c r="B14" s="2"/>
      <c r="D14">
        <v>0</v>
      </c>
      <c r="E14">
        <v>0.70565299999999997</v>
      </c>
      <c r="F14">
        <v>7.4737999999999999E-2</v>
      </c>
      <c r="H14">
        <v>0</v>
      </c>
      <c r="I14">
        <v>0.56525999999999998</v>
      </c>
      <c r="J14">
        <v>3.6380000000000003E-2</v>
      </c>
    </row>
    <row r="15" spans="2:10" x14ac:dyDescent="0.25">
      <c r="B15" s="2"/>
      <c r="D15">
        <v>0</v>
      </c>
      <c r="E15">
        <v>0.67522300000000002</v>
      </c>
      <c r="F15">
        <v>8.3720000000000003E-2</v>
      </c>
      <c r="H15">
        <v>0</v>
      </c>
      <c r="I15">
        <v>0.5</v>
      </c>
      <c r="J15">
        <v>3.9780000000000003E-2</v>
      </c>
    </row>
    <row r="16" spans="2:10" x14ac:dyDescent="0.25">
      <c r="B16" s="2"/>
      <c r="D16">
        <v>0</v>
      </c>
      <c r="E16">
        <v>0.64543700000000004</v>
      </c>
      <c r="F16">
        <v>9.2204999999999995E-2</v>
      </c>
      <c r="H16">
        <v>0</v>
      </c>
      <c r="I16">
        <v>0.43474000000000002</v>
      </c>
      <c r="J16">
        <v>4.2479999999999997E-2</v>
      </c>
    </row>
    <row r="17" spans="2:10" x14ac:dyDescent="0.25">
      <c r="B17" s="5"/>
      <c r="D17">
        <v>0</v>
      </c>
      <c r="E17">
        <v>0.61626599999999998</v>
      </c>
      <c r="F17">
        <v>9.9990999999999997E-2</v>
      </c>
      <c r="H17">
        <v>0</v>
      </c>
      <c r="I17">
        <v>0.37058999999999997</v>
      </c>
      <c r="J17">
        <v>4.4310000000000002E-2</v>
      </c>
    </row>
    <row r="18" spans="2:10" x14ac:dyDescent="0.25">
      <c r="D18">
        <v>0</v>
      </c>
      <c r="E18">
        <v>0.58758100000000002</v>
      </c>
      <c r="F18">
        <v>0.106907</v>
      </c>
      <c r="H18">
        <v>0</v>
      </c>
      <c r="I18">
        <v>0.33928000000000003</v>
      </c>
      <c r="J18">
        <v>4.4839999999999998E-2</v>
      </c>
    </row>
    <row r="19" spans="2:10" x14ac:dyDescent="0.25">
      <c r="D19">
        <v>0</v>
      </c>
      <c r="E19">
        <v>0.559141</v>
      </c>
      <c r="F19">
        <v>0.11283799999999999</v>
      </c>
      <c r="H19">
        <v>0</v>
      </c>
      <c r="I19">
        <v>0.30865999999999999</v>
      </c>
      <c r="J19">
        <v>4.5089999999999998E-2</v>
      </c>
    </row>
    <row r="20" spans="2:10" x14ac:dyDescent="0.25">
      <c r="D20">
        <v>0</v>
      </c>
      <c r="E20">
        <v>0.53068099999999996</v>
      </c>
      <c r="F20">
        <v>0.117774</v>
      </c>
      <c r="H20">
        <v>0</v>
      </c>
      <c r="I20">
        <v>0.27886</v>
      </c>
      <c r="J20">
        <v>4.5039999999999997E-2</v>
      </c>
    </row>
    <row r="21" spans="2:10" x14ac:dyDescent="0.25">
      <c r="D21">
        <v>0</v>
      </c>
      <c r="E21">
        <v>0.50204700000000002</v>
      </c>
      <c r="F21">
        <v>0.121778</v>
      </c>
      <c r="H21">
        <v>0</v>
      </c>
      <c r="I21">
        <v>0.25</v>
      </c>
      <c r="J21">
        <v>4.4659999999999998E-2</v>
      </c>
    </row>
    <row r="22" spans="2:10" x14ac:dyDescent="0.25">
      <c r="D22">
        <v>0</v>
      </c>
      <c r="E22">
        <v>0.473223</v>
      </c>
      <c r="F22">
        <v>0.124888</v>
      </c>
      <c r="H22">
        <v>0</v>
      </c>
      <c r="I22">
        <v>0.22220999999999999</v>
      </c>
      <c r="J22">
        <v>4.3970000000000002E-2</v>
      </c>
    </row>
    <row r="23" spans="2:10" x14ac:dyDescent="0.25">
      <c r="D23">
        <v>0</v>
      </c>
      <c r="E23">
        <v>0.444274</v>
      </c>
      <c r="F23">
        <v>0.127109</v>
      </c>
      <c r="H23">
        <v>0</v>
      </c>
      <c r="I23">
        <v>0.19561999999999999</v>
      </c>
      <c r="J23">
        <v>4.2950000000000002E-2</v>
      </c>
    </row>
    <row r="24" spans="2:10" x14ac:dyDescent="0.25">
      <c r="D24">
        <v>0</v>
      </c>
      <c r="E24">
        <v>0.41525499999999999</v>
      </c>
      <c r="F24">
        <v>0.12843399999999999</v>
      </c>
      <c r="H24">
        <v>0</v>
      </c>
      <c r="I24">
        <v>0.17033000000000001</v>
      </c>
      <c r="J24">
        <v>4.1610000000000001E-2</v>
      </c>
    </row>
    <row r="25" spans="2:10" x14ac:dyDescent="0.25">
      <c r="D25">
        <v>0</v>
      </c>
      <c r="E25">
        <v>0.386183</v>
      </c>
      <c r="F25">
        <v>0.12884999999999999</v>
      </c>
      <c r="H25">
        <v>0</v>
      </c>
      <c r="I25">
        <v>0.14645</v>
      </c>
      <c r="J25">
        <v>3.9940000000000003E-2</v>
      </c>
    </row>
    <row r="26" spans="2:10" x14ac:dyDescent="0.25">
      <c r="D26">
        <v>0</v>
      </c>
      <c r="E26">
        <v>0.35709200000000002</v>
      </c>
      <c r="F26">
        <v>0.128382</v>
      </c>
      <c r="H26">
        <v>0</v>
      </c>
      <c r="I26">
        <v>0.12408</v>
      </c>
      <c r="J26">
        <v>3.7949999999999998E-2</v>
      </c>
    </row>
    <row r="27" spans="2:10" x14ac:dyDescent="0.25">
      <c r="D27">
        <v>0</v>
      </c>
      <c r="E27">
        <v>0.32805600000000001</v>
      </c>
      <c r="F27">
        <v>0.12704299999999999</v>
      </c>
      <c r="H27">
        <v>0</v>
      </c>
      <c r="I27">
        <v>0.10332</v>
      </c>
      <c r="J27">
        <v>3.5639999999999998E-2</v>
      </c>
    </row>
    <row r="28" spans="2:10" x14ac:dyDescent="0.25">
      <c r="D28">
        <v>0</v>
      </c>
      <c r="E28">
        <v>0.299149</v>
      </c>
      <c r="F28">
        <v>0.124802</v>
      </c>
      <c r="H28">
        <v>0</v>
      </c>
      <c r="I28">
        <v>8.4269999999999998E-2</v>
      </c>
      <c r="J28">
        <v>3.3050000000000003E-2</v>
      </c>
    </row>
    <row r="29" spans="2:10" x14ac:dyDescent="0.25">
      <c r="D29">
        <v>0</v>
      </c>
      <c r="E29">
        <v>0.27042500000000003</v>
      </c>
      <c r="F29">
        <v>0.121658</v>
      </c>
      <c r="H29">
        <v>0</v>
      </c>
      <c r="I29">
        <v>6.6989999999999994E-2</v>
      </c>
      <c r="J29">
        <v>3.023E-2</v>
      </c>
    </row>
    <row r="30" spans="2:10" x14ac:dyDescent="0.25">
      <c r="D30">
        <v>0</v>
      </c>
      <c r="E30">
        <v>0.24193999999999999</v>
      </c>
      <c r="F30">
        <v>0.117585</v>
      </c>
      <c r="H30">
        <v>0</v>
      </c>
      <c r="I30">
        <v>5.1560000000000002E-2</v>
      </c>
      <c r="J30">
        <v>2.7199999999999998E-2</v>
      </c>
    </row>
    <row r="31" spans="2:10" x14ac:dyDescent="0.25">
      <c r="D31">
        <v>0</v>
      </c>
      <c r="E31">
        <v>0.21379100000000001</v>
      </c>
      <c r="F31">
        <v>0.11255800000000001</v>
      </c>
      <c r="H31">
        <v>0</v>
      </c>
      <c r="I31">
        <v>3.8059999999999997E-2</v>
      </c>
      <c r="J31">
        <v>2.3949999999999999E-2</v>
      </c>
    </row>
    <row r="32" spans="2:10" x14ac:dyDescent="0.25">
      <c r="D32">
        <v>0</v>
      </c>
      <c r="E32">
        <v>0.18611800000000001</v>
      </c>
      <c r="F32">
        <v>0.10655100000000001</v>
      </c>
      <c r="H32">
        <v>0</v>
      </c>
      <c r="I32">
        <v>2.6530000000000001E-2</v>
      </c>
      <c r="J32">
        <v>2.0389999999999998E-2</v>
      </c>
    </row>
    <row r="33" spans="4:10" x14ac:dyDescent="0.25">
      <c r="D33">
        <v>0</v>
      </c>
      <c r="E33">
        <v>0.15909499999999999</v>
      </c>
      <c r="F33">
        <v>9.9540000000000003E-2</v>
      </c>
      <c r="H33">
        <v>0</v>
      </c>
      <c r="I33">
        <v>1.704E-2</v>
      </c>
      <c r="J33">
        <v>1.6459999999999999E-2</v>
      </c>
    </row>
    <row r="34" spans="4:10" x14ac:dyDescent="0.25">
      <c r="D34">
        <v>0</v>
      </c>
      <c r="E34">
        <v>0.132934</v>
      </c>
      <c r="F34">
        <v>9.1526999999999997E-2</v>
      </c>
      <c r="H34">
        <v>0</v>
      </c>
      <c r="I34">
        <v>9.6100000000000005E-3</v>
      </c>
      <c r="J34">
        <v>1.214E-2</v>
      </c>
    </row>
    <row r="35" spans="4:10" x14ac:dyDescent="0.25">
      <c r="D35">
        <v>0</v>
      </c>
      <c r="E35">
        <v>0.107915</v>
      </c>
      <c r="F35">
        <v>8.2516999999999993E-2</v>
      </c>
      <c r="H35">
        <v>0</v>
      </c>
      <c r="I35">
        <v>4.28E-3</v>
      </c>
      <c r="J35">
        <v>7.6699999999999997E-3</v>
      </c>
    </row>
    <row r="36" spans="4:10" x14ac:dyDescent="0.25">
      <c r="D36">
        <v>0</v>
      </c>
      <c r="E36">
        <v>8.4407999999999997E-2</v>
      </c>
      <c r="F36">
        <v>7.2565000000000004E-2</v>
      </c>
      <c r="H36">
        <v>0</v>
      </c>
      <c r="I36">
        <v>1.07E-3</v>
      </c>
      <c r="J36">
        <v>3.49E-3</v>
      </c>
    </row>
    <row r="37" spans="4:10" x14ac:dyDescent="0.25">
      <c r="D37">
        <v>0</v>
      </c>
      <c r="E37">
        <v>6.2879000000000004E-2</v>
      </c>
      <c r="F37">
        <v>6.1803999999999998E-2</v>
      </c>
      <c r="H37">
        <v>0</v>
      </c>
      <c r="I37">
        <v>0</v>
      </c>
      <c r="J37">
        <v>0</v>
      </c>
    </row>
    <row r="38" spans="4:10" x14ac:dyDescent="0.25">
      <c r="D38">
        <v>0</v>
      </c>
      <c r="E38">
        <v>4.3965999999999998E-2</v>
      </c>
      <c r="F38">
        <v>5.0540000000000002E-2</v>
      </c>
      <c r="H38">
        <v>0</v>
      </c>
      <c r="I38">
        <v>1.07E-3</v>
      </c>
      <c r="J38">
        <v>-3.49E-3</v>
      </c>
    </row>
    <row r="39" spans="4:10" x14ac:dyDescent="0.25">
      <c r="D39">
        <v>0</v>
      </c>
      <c r="E39">
        <v>2.8364E-2</v>
      </c>
      <c r="F39">
        <v>3.9300000000000002E-2</v>
      </c>
      <c r="H39">
        <v>0</v>
      </c>
      <c r="I39">
        <v>4.28E-3</v>
      </c>
      <c r="J39">
        <v>-7.6699999999999997E-3</v>
      </c>
    </row>
    <row r="40" spans="4:10" x14ac:dyDescent="0.25">
      <c r="D40">
        <v>0</v>
      </c>
      <c r="E40">
        <v>1.6496E-2</v>
      </c>
      <c r="F40">
        <v>2.8726999999999999E-2</v>
      </c>
      <c r="H40">
        <v>0</v>
      </c>
      <c r="I40">
        <v>9.6100000000000005E-3</v>
      </c>
      <c r="J40">
        <v>-1.214E-2</v>
      </c>
    </row>
    <row r="41" spans="4:10" x14ac:dyDescent="0.25">
      <c r="D41">
        <v>0</v>
      </c>
      <c r="E41">
        <v>8.293E-3</v>
      </c>
      <c r="F41">
        <v>1.9335000000000001E-2</v>
      </c>
      <c r="H41">
        <v>0</v>
      </c>
      <c r="I41">
        <v>1.704E-2</v>
      </c>
      <c r="J41">
        <v>-1.6459999999999999E-2</v>
      </c>
    </row>
    <row r="42" spans="4:10" x14ac:dyDescent="0.25">
      <c r="D42">
        <v>0</v>
      </c>
      <c r="E42">
        <v>3.2919999999999998E-3</v>
      </c>
      <c r="F42">
        <v>1.1468000000000001E-2</v>
      </c>
      <c r="H42">
        <v>0</v>
      </c>
      <c r="I42">
        <v>2.6530000000000001E-2</v>
      </c>
      <c r="J42">
        <v>-2.0389999999999998E-2</v>
      </c>
    </row>
    <row r="43" spans="4:10" x14ac:dyDescent="0.25">
      <c r="D43">
        <v>0</v>
      </c>
      <c r="E43">
        <v>7.5699999999999997E-4</v>
      </c>
      <c r="F43">
        <v>5.143E-3</v>
      </c>
      <c r="H43">
        <v>0</v>
      </c>
      <c r="I43">
        <v>3.8059999999999997E-2</v>
      </c>
      <c r="J43">
        <v>-2.3949999999999999E-2</v>
      </c>
    </row>
    <row r="44" spans="4:10" x14ac:dyDescent="0.25">
      <c r="D44">
        <v>0</v>
      </c>
      <c r="E44">
        <v>0</v>
      </c>
      <c r="F44">
        <v>0</v>
      </c>
      <c r="H44">
        <v>0</v>
      </c>
      <c r="I44">
        <v>5.1560000000000002E-2</v>
      </c>
      <c r="J44">
        <v>-2.7199999999999998E-2</v>
      </c>
    </row>
    <row r="45" spans="4:10" x14ac:dyDescent="0.25">
      <c r="D45">
        <v>0</v>
      </c>
      <c r="E45">
        <v>4.9200000000000003E-4</v>
      </c>
      <c r="F45">
        <v>-3.4859999999999999E-3</v>
      </c>
      <c r="H45">
        <v>0</v>
      </c>
      <c r="I45">
        <v>6.6989999999999994E-2</v>
      </c>
      <c r="J45">
        <v>-3.023E-2</v>
      </c>
    </row>
    <row r="46" spans="4:10" x14ac:dyDescent="0.25">
      <c r="D46">
        <v>0</v>
      </c>
      <c r="E46">
        <v>2.0119999999999999E-3</v>
      </c>
      <c r="F46">
        <v>-6.4279999999999997E-3</v>
      </c>
      <c r="H46">
        <v>0</v>
      </c>
      <c r="I46">
        <v>8.4269999999999998E-2</v>
      </c>
      <c r="J46">
        <v>-3.3050000000000003E-2</v>
      </c>
    </row>
    <row r="47" spans="4:10" x14ac:dyDescent="0.25">
      <c r="D47">
        <v>0</v>
      </c>
      <c r="E47">
        <v>4.4149999999999997E-3</v>
      </c>
      <c r="F47">
        <v>-8.7910000000000002E-3</v>
      </c>
      <c r="H47">
        <v>0</v>
      </c>
      <c r="I47">
        <v>0.10332</v>
      </c>
      <c r="J47">
        <v>-3.5639999999999998E-2</v>
      </c>
    </row>
    <row r="48" spans="4:10" x14ac:dyDescent="0.25">
      <c r="D48">
        <v>0</v>
      </c>
      <c r="E48">
        <v>8.0859999999999994E-3</v>
      </c>
      <c r="F48">
        <v>-1.0699999999999999E-2</v>
      </c>
      <c r="H48">
        <v>0</v>
      </c>
      <c r="I48">
        <v>0.12408</v>
      </c>
      <c r="J48">
        <v>-3.7949999999999998E-2</v>
      </c>
    </row>
    <row r="49" spans="4:10" x14ac:dyDescent="0.25">
      <c r="D49">
        <v>0</v>
      </c>
      <c r="E49">
        <v>1.4115000000000001E-2</v>
      </c>
      <c r="F49">
        <v>-1.2375000000000001E-2</v>
      </c>
      <c r="H49">
        <v>0</v>
      </c>
      <c r="I49">
        <v>0.14645</v>
      </c>
      <c r="J49">
        <v>-3.9940000000000003E-2</v>
      </c>
    </row>
    <row r="50" spans="4:10" x14ac:dyDescent="0.25">
      <c r="D50">
        <v>0</v>
      </c>
      <c r="E50">
        <v>2.4573000000000001E-2</v>
      </c>
      <c r="F50">
        <v>-1.3878E-2</v>
      </c>
      <c r="H50">
        <v>0</v>
      </c>
      <c r="I50">
        <v>0.17033000000000001</v>
      </c>
      <c r="J50">
        <v>-4.1610000000000001E-2</v>
      </c>
    </row>
    <row r="51" spans="4:10" x14ac:dyDescent="0.25">
      <c r="D51">
        <v>0</v>
      </c>
      <c r="E51">
        <v>4.1451000000000002E-2</v>
      </c>
      <c r="F51">
        <v>-1.4888999999999999E-2</v>
      </c>
      <c r="H51">
        <v>0</v>
      </c>
      <c r="I51">
        <v>0.19561999999999999</v>
      </c>
      <c r="J51">
        <v>-4.2950000000000002E-2</v>
      </c>
    </row>
    <row r="52" spans="4:10" x14ac:dyDescent="0.25">
      <c r="D52">
        <v>0</v>
      </c>
      <c r="E52">
        <v>6.4894999999999994E-2</v>
      </c>
      <c r="F52">
        <v>-1.5066E-2</v>
      </c>
      <c r="H52">
        <v>0</v>
      </c>
      <c r="I52">
        <v>0.22220999999999999</v>
      </c>
      <c r="J52">
        <v>-4.3970000000000002E-2</v>
      </c>
    </row>
    <row r="53" spans="4:10" x14ac:dyDescent="0.25">
      <c r="D53">
        <v>0</v>
      </c>
      <c r="E53">
        <v>9.2607999999999996E-2</v>
      </c>
      <c r="F53">
        <v>-1.4461999999999999E-2</v>
      </c>
      <c r="H53">
        <v>0</v>
      </c>
      <c r="I53">
        <v>0.25</v>
      </c>
      <c r="J53">
        <v>-4.4659999999999998E-2</v>
      </c>
    </row>
    <row r="54" spans="4:10" x14ac:dyDescent="0.25">
      <c r="D54">
        <v>0</v>
      </c>
      <c r="E54">
        <v>0.122584</v>
      </c>
      <c r="F54">
        <v>-1.3292999999999999E-2</v>
      </c>
      <c r="H54">
        <v>0</v>
      </c>
      <c r="I54">
        <v>0.27886</v>
      </c>
      <c r="J54">
        <v>-4.5039999999999997E-2</v>
      </c>
    </row>
    <row r="55" spans="4:10" x14ac:dyDescent="0.25">
      <c r="D55">
        <v>0</v>
      </c>
      <c r="E55">
        <v>0.15367800000000001</v>
      </c>
      <c r="F55">
        <v>-1.1747E-2</v>
      </c>
      <c r="H55">
        <v>0</v>
      </c>
      <c r="I55">
        <v>0.30865999999999999</v>
      </c>
      <c r="J55">
        <v>-4.5089999999999998E-2</v>
      </c>
    </row>
    <row r="56" spans="4:10" x14ac:dyDescent="0.25">
      <c r="D56">
        <v>0</v>
      </c>
      <c r="E56">
        <v>0.18538399999999999</v>
      </c>
      <c r="F56">
        <v>-9.9670000000000002E-3</v>
      </c>
      <c r="H56">
        <v>0</v>
      </c>
      <c r="I56">
        <v>0.33928000000000003</v>
      </c>
      <c r="J56">
        <v>-4.4839999999999998E-2</v>
      </c>
    </row>
    <row r="57" spans="4:10" x14ac:dyDescent="0.25">
      <c r="D57">
        <v>0</v>
      </c>
      <c r="E57">
        <v>0.21745</v>
      </c>
      <c r="F57">
        <v>-8.0520000000000001E-3</v>
      </c>
      <c r="H57">
        <v>0</v>
      </c>
      <c r="I57">
        <v>0.37058999999999997</v>
      </c>
      <c r="J57">
        <v>-4.4310000000000002E-2</v>
      </c>
    </row>
    <row r="58" spans="4:10" x14ac:dyDescent="0.25">
      <c r="D58">
        <v>0</v>
      </c>
      <c r="E58">
        <v>0.24973899999999999</v>
      </c>
      <c r="F58">
        <v>-6.0689999999999997E-3</v>
      </c>
      <c r="H58">
        <v>0</v>
      </c>
      <c r="I58">
        <v>0.43474000000000002</v>
      </c>
      <c r="J58">
        <v>-4.2479999999999997E-2</v>
      </c>
    </row>
    <row r="59" spans="4:10" x14ac:dyDescent="0.25">
      <c r="D59">
        <v>0</v>
      </c>
      <c r="E59">
        <v>0.28217199999999998</v>
      </c>
      <c r="F59">
        <v>-4.0610000000000004E-3</v>
      </c>
      <c r="H59">
        <v>0</v>
      </c>
      <c r="I59">
        <v>0.5</v>
      </c>
      <c r="J59">
        <v>-3.9780000000000003E-2</v>
      </c>
    </row>
    <row r="60" spans="4:10" x14ac:dyDescent="0.25">
      <c r="D60">
        <v>0</v>
      </c>
      <c r="E60">
        <v>0.31461099999999997</v>
      </c>
      <c r="F60">
        <v>-2.068E-3</v>
      </c>
      <c r="H60">
        <v>0</v>
      </c>
      <c r="I60">
        <v>0.56525999999999998</v>
      </c>
      <c r="J60">
        <v>-3.6380000000000003E-2</v>
      </c>
    </row>
    <row r="61" spans="4:10" x14ac:dyDescent="0.25">
      <c r="D61">
        <v>0</v>
      </c>
      <c r="E61">
        <v>0.34696500000000002</v>
      </c>
      <c r="F61">
        <v>-1.1900000000000001E-4</v>
      </c>
      <c r="H61">
        <v>0</v>
      </c>
      <c r="I61">
        <v>0.62941000000000003</v>
      </c>
      <c r="J61">
        <v>-3.2469999999999999E-2</v>
      </c>
    </row>
    <row r="62" spans="4:10" x14ac:dyDescent="0.25">
      <c r="D62">
        <v>0</v>
      </c>
      <c r="E62">
        <v>0.37924000000000002</v>
      </c>
      <c r="F62">
        <v>1.7520000000000001E-3</v>
      </c>
      <c r="H62">
        <v>0</v>
      </c>
      <c r="I62">
        <v>0.69133999999999995</v>
      </c>
      <c r="J62">
        <v>-2.8230000000000002E-2</v>
      </c>
    </row>
    <row r="63" spans="4:10" x14ac:dyDescent="0.25">
      <c r="D63">
        <v>0</v>
      </c>
      <c r="E63">
        <v>0.41143400000000002</v>
      </c>
      <c r="F63">
        <v>3.5360000000000001E-3</v>
      </c>
      <c r="H63">
        <v>0</v>
      </c>
      <c r="I63">
        <v>0.75</v>
      </c>
      <c r="J63">
        <v>-2.384E-2</v>
      </c>
    </row>
    <row r="64" spans="4:10" x14ac:dyDescent="0.25">
      <c r="D64">
        <v>0</v>
      </c>
      <c r="E64">
        <v>0.443554</v>
      </c>
      <c r="F64">
        <v>5.1999999999999998E-3</v>
      </c>
      <c r="H64">
        <v>0</v>
      </c>
      <c r="I64">
        <v>0.80437999999999998</v>
      </c>
      <c r="J64">
        <v>-1.9449999999999999E-2</v>
      </c>
    </row>
    <row r="65" spans="4:10" x14ac:dyDescent="0.25">
      <c r="D65">
        <v>0</v>
      </c>
      <c r="E65">
        <v>0.475605</v>
      </c>
      <c r="F65">
        <v>6.7340000000000004E-3</v>
      </c>
      <c r="H65">
        <v>0</v>
      </c>
      <c r="I65">
        <v>0.85355000000000003</v>
      </c>
      <c r="J65">
        <v>-1.5219999999999999E-2</v>
      </c>
    </row>
    <row r="66" spans="4:10" x14ac:dyDescent="0.25">
      <c r="D66">
        <v>0</v>
      </c>
      <c r="E66">
        <v>0.507575</v>
      </c>
      <c r="F66">
        <v>8.1150000000000007E-3</v>
      </c>
      <c r="H66">
        <v>0</v>
      </c>
      <c r="I66">
        <v>0.89668000000000003</v>
      </c>
      <c r="J66">
        <v>-1.1270000000000001E-2</v>
      </c>
    </row>
    <row r="67" spans="4:10" x14ac:dyDescent="0.25">
      <c r="D67">
        <v>0</v>
      </c>
      <c r="E67">
        <v>0.53946899999999998</v>
      </c>
      <c r="F67">
        <v>9.3039999999999998E-3</v>
      </c>
      <c r="H67">
        <v>0</v>
      </c>
      <c r="I67">
        <v>0.93301000000000001</v>
      </c>
      <c r="J67">
        <v>-7.7000000000000002E-3</v>
      </c>
    </row>
    <row r="68" spans="4:10" x14ac:dyDescent="0.25">
      <c r="D68">
        <v>0</v>
      </c>
      <c r="E68">
        <v>0.57131200000000004</v>
      </c>
      <c r="F68">
        <v>1.0285000000000001E-2</v>
      </c>
      <c r="H68">
        <v>0</v>
      </c>
      <c r="I68">
        <v>0.96194000000000002</v>
      </c>
      <c r="J68">
        <v>-4.6299999999999996E-3</v>
      </c>
    </row>
    <row r="69" spans="4:10" x14ac:dyDescent="0.25">
      <c r="D69">
        <v>0</v>
      </c>
      <c r="E69">
        <v>0.60311199999999998</v>
      </c>
      <c r="F69">
        <v>1.1044999999999999E-2</v>
      </c>
      <c r="H69">
        <v>0</v>
      </c>
      <c r="I69">
        <v>0.98295999999999994</v>
      </c>
      <c r="J69">
        <v>-2.1800000000000001E-3</v>
      </c>
    </row>
    <row r="70" spans="4:10" x14ac:dyDescent="0.25">
      <c r="D70">
        <v>0</v>
      </c>
      <c r="E70">
        <v>0.63488199999999995</v>
      </c>
      <c r="F70">
        <v>1.157E-2</v>
      </c>
      <c r="H70">
        <v>0</v>
      </c>
      <c r="I70">
        <v>0.99572000000000005</v>
      </c>
      <c r="J70">
        <v>-5.6999999999999998E-4</v>
      </c>
    </row>
    <row r="71" spans="4:10" x14ac:dyDescent="0.25">
      <c r="D71">
        <v>0</v>
      </c>
      <c r="E71">
        <v>0.66663499999999998</v>
      </c>
      <c r="F71">
        <v>1.1866E-2</v>
      </c>
      <c r="H71">
        <v>0</v>
      </c>
      <c r="I71">
        <v>1</v>
      </c>
      <c r="J71">
        <v>0</v>
      </c>
    </row>
    <row r="72" spans="4:10" x14ac:dyDescent="0.25">
      <c r="D72">
        <v>0</v>
      </c>
      <c r="E72">
        <v>0.698376</v>
      </c>
      <c r="F72">
        <v>1.1931000000000001E-2</v>
      </c>
    </row>
    <row r="73" spans="4:10" x14ac:dyDescent="0.25">
      <c r="D73">
        <v>0</v>
      </c>
      <c r="E73">
        <v>0.730101</v>
      </c>
      <c r="F73">
        <v>1.1773E-2</v>
      </c>
    </row>
    <row r="74" spans="4:10" x14ac:dyDescent="0.25">
      <c r="D74">
        <v>0</v>
      </c>
      <c r="E74">
        <v>0.76178900000000005</v>
      </c>
      <c r="F74">
        <v>1.1393E-2</v>
      </c>
    </row>
    <row r="75" spans="4:10" x14ac:dyDescent="0.25">
      <c r="D75">
        <v>0</v>
      </c>
      <c r="E75">
        <v>0.79342100000000004</v>
      </c>
      <c r="F75">
        <v>1.0774000000000001E-2</v>
      </c>
    </row>
    <row r="76" spans="4:10" x14ac:dyDescent="0.25">
      <c r="D76">
        <v>0</v>
      </c>
      <c r="E76">
        <v>0.82499800000000001</v>
      </c>
      <c r="F76">
        <v>9.9000000000000008E-3</v>
      </c>
    </row>
    <row r="77" spans="4:10" x14ac:dyDescent="0.25">
      <c r="D77">
        <v>0</v>
      </c>
      <c r="E77">
        <v>0.85656200000000005</v>
      </c>
      <c r="F77">
        <v>8.7589999999999994E-3</v>
      </c>
    </row>
    <row r="78" spans="4:10" x14ac:dyDescent="0.25">
      <c r="D78">
        <v>0</v>
      </c>
      <c r="E78">
        <v>0.88832900000000004</v>
      </c>
      <c r="F78">
        <v>7.3309999999999998E-3</v>
      </c>
    </row>
    <row r="79" spans="4:10" x14ac:dyDescent="0.25">
      <c r="D79">
        <v>0</v>
      </c>
      <c r="E79">
        <v>0.92001500000000003</v>
      </c>
      <c r="F79">
        <v>5.6140000000000001E-3</v>
      </c>
    </row>
    <row r="80" spans="4:10" x14ac:dyDescent="0.25">
      <c r="D80">
        <v>0</v>
      </c>
      <c r="E80">
        <v>0.947994</v>
      </c>
      <c r="F80">
        <v>3.8679999999999999E-3</v>
      </c>
    </row>
    <row r="81" spans="4:6" x14ac:dyDescent="0.25">
      <c r="D81">
        <v>0</v>
      </c>
      <c r="E81">
        <v>0.96965100000000004</v>
      </c>
      <c r="F81">
        <v>2.3500000000000001E-3</v>
      </c>
    </row>
    <row r="82" spans="4:6" x14ac:dyDescent="0.25">
      <c r="D82">
        <v>0</v>
      </c>
      <c r="E82">
        <v>0.98628300000000002</v>
      </c>
      <c r="F82">
        <v>1.077E-3</v>
      </c>
    </row>
    <row r="83" spans="4:6" x14ac:dyDescent="0.25">
      <c r="D83">
        <v>0</v>
      </c>
      <c r="E83">
        <v>1</v>
      </c>
      <c r="F83">
        <v>0</v>
      </c>
    </row>
  </sheetData>
  <mergeCells count="2">
    <mergeCell ref="D2:F2"/>
    <mergeCell ref="H2:J2"/>
  </mergeCells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9A03A2-2D2E-43CA-9BA0-A7E0AAAE49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Transformation</vt:lpstr>
      <vt:lpstr>Aerofoil Library</vt:lpstr>
      <vt:lpstr>Aerofoils</vt:lpstr>
      <vt:lpstr>CSV_Export</vt:lpstr>
      <vt:lpstr>Curve</vt:lpstr>
      <vt:lpstr>Custom</vt:lpstr>
      <vt:lpstr>DAE_11</vt:lpstr>
      <vt:lpstr>Input_Selection</vt:lpstr>
      <vt:lpstr>InputColumns</vt:lpstr>
      <vt:lpstr>NACA0009</vt:lpstr>
      <vt:lpstr>Order</vt:lpstr>
      <vt:lpstr>Scalar</vt:lpstr>
      <vt:lpstr>StartInput</vt:lpstr>
      <vt:lpstr>StartOutput</vt:lpstr>
      <vt:lpstr>x_order</vt:lpstr>
      <vt:lpstr>x_Theta</vt:lpstr>
      <vt:lpstr>x_Translation</vt:lpstr>
      <vt:lpstr>xRotation</vt:lpstr>
      <vt:lpstr>y_order</vt:lpstr>
      <vt:lpstr>y_Theta</vt:lpstr>
      <vt:lpstr>y_Translation</vt:lpstr>
      <vt:lpstr>yRotation</vt:lpstr>
      <vt:lpstr>z_order</vt:lpstr>
      <vt:lpstr>z_Theta</vt:lpstr>
      <vt:lpstr>z_Translation</vt:lpstr>
      <vt:lpstr>zRotation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</dc:creator>
  <cp:lastModifiedBy>Ralph</cp:lastModifiedBy>
  <dcterms:created xsi:type="dcterms:W3CDTF">2018-09-20T17:36:31Z</dcterms:created>
  <dcterms:modified xsi:type="dcterms:W3CDTF">2018-10-13T14:38:51Z</dcterms:modified>
</cp:coreProperties>
</file>